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reate\Git\Arcanumber\Assets\_Project\Excel\"/>
    </mc:Choice>
  </mc:AlternateContent>
  <xr:revisionPtr revIDLastSave="0" documentId="13_ncr:1_{C8735914-91D8-4A23-992E-FC58E8841D1A}" xr6:coauthVersionLast="36" xr6:coauthVersionMax="47" xr10:uidLastSave="{00000000-0000-0000-0000-000000000000}"/>
  <bookViews>
    <workbookView xWindow="0" yWindow="0" windowWidth="23040" windowHeight="8124" xr2:uid="{AC75F782-5E9E-4D3C-BA30-1B913C01DC7F}"/>
  </bookViews>
  <sheets>
    <sheet name="アルカナ名" sheetId="1" r:id="rId1"/>
    <sheet name="ArcanaData" sheetId="2" r:id="rId2"/>
    <sheet name="選択用フィールド" sheetId="4" r:id="rId3"/>
    <sheet name="InputFile(Arcana)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3" i="3" l="1"/>
  <c r="B2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A41" i="3"/>
  <c r="A42" i="3"/>
  <c r="A43" i="3"/>
  <c r="A44" i="3"/>
  <c r="A45" i="3"/>
  <c r="A38" i="3"/>
  <c r="A39" i="3"/>
  <c r="A40" i="3"/>
  <c r="A29" i="3"/>
  <c r="A30" i="3"/>
  <c r="A31" i="3"/>
  <c r="A32" i="3"/>
  <c r="A33" i="3"/>
  <c r="A34" i="3"/>
  <c r="A35" i="3"/>
  <c r="A36" i="3"/>
  <c r="A37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3"/>
  <c r="A5" i="3"/>
  <c r="A6" i="3"/>
  <c r="A7" i="3"/>
  <c r="A8" i="3"/>
  <c r="A9" i="3"/>
  <c r="A10" i="3"/>
  <c r="A11" i="3"/>
  <c r="A12" i="3"/>
  <c r="A13" i="3"/>
  <c r="A2" i="3"/>
  <c r="C2" i="2"/>
  <c r="I2" i="2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C36" i="2"/>
  <c r="I36" i="2" s="1"/>
  <c r="C37" i="2"/>
  <c r="I37" i="2" s="1"/>
  <c r="C38" i="2"/>
  <c r="I38" i="2" s="1"/>
  <c r="C39" i="2"/>
  <c r="I39" i="2" s="1"/>
  <c r="C40" i="2"/>
  <c r="I40" i="2" s="1"/>
  <c r="C41" i="2"/>
  <c r="I41" i="2" s="1"/>
  <c r="C42" i="2"/>
  <c r="I42" i="2" s="1"/>
  <c r="C43" i="2"/>
  <c r="I43" i="2" s="1"/>
  <c r="C44" i="2"/>
  <c r="I44" i="2" s="1"/>
  <c r="C45" i="2"/>
  <c r="I45" i="2" s="1"/>
  <c r="C3" i="2"/>
  <c r="I3" i="2" s="1"/>
  <c r="C4" i="2"/>
  <c r="I4" i="2" s="1"/>
  <c r="C5" i="2"/>
  <c r="I5" i="2" s="1"/>
  <c r="C6" i="2"/>
  <c r="I6" i="2" s="1"/>
  <c r="C7" i="2"/>
  <c r="I7" i="2" s="1"/>
  <c r="C8" i="2"/>
  <c r="I8" i="2" s="1"/>
  <c r="C9" i="2"/>
  <c r="I9" i="2" s="1"/>
  <c r="C10" i="2"/>
  <c r="I10" i="2" s="1"/>
  <c r="C11" i="2"/>
  <c r="I11" i="2" s="1"/>
  <c r="C12" i="2"/>
  <c r="I12" i="2" s="1"/>
  <c r="C13" i="2"/>
  <c r="I13" i="2" s="1"/>
  <c r="C14" i="2"/>
  <c r="I14" i="2" s="1"/>
  <c r="C15" i="2"/>
  <c r="I15" i="2" s="1"/>
  <c r="C16" i="2"/>
  <c r="I16" i="2" s="1"/>
  <c r="C17" i="2"/>
  <c r="I17" i="2" s="1"/>
  <c r="C18" i="2"/>
  <c r="I18" i="2" s="1"/>
  <c r="C19" i="2"/>
  <c r="I19" i="2" s="1"/>
  <c r="C20" i="2"/>
  <c r="I20" i="2" s="1"/>
  <c r="C21" i="2"/>
  <c r="I21" i="2" s="1"/>
  <c r="C22" i="2"/>
  <c r="I22" i="2" s="1"/>
  <c r="C23" i="2"/>
  <c r="I23" i="2" s="1"/>
  <c r="C24" i="2"/>
  <c r="I24" i="2" s="1"/>
  <c r="C25" i="2"/>
  <c r="I25" i="2" s="1"/>
  <c r="C26" i="2"/>
  <c r="I26" i="2" s="1"/>
  <c r="C27" i="2"/>
  <c r="I27" i="2" s="1"/>
  <c r="C28" i="2"/>
  <c r="I28" i="2" s="1"/>
  <c r="C29" i="2"/>
  <c r="I29" i="2" s="1"/>
  <c r="C30" i="2"/>
  <c r="I30" i="2" s="1"/>
  <c r="C31" i="2"/>
  <c r="I31" i="2" s="1"/>
  <c r="C32" i="2"/>
  <c r="I32" i="2" s="1"/>
  <c r="C33" i="2"/>
  <c r="I33" i="2" s="1"/>
  <c r="C34" i="2"/>
  <c r="I34" i="2" s="1"/>
  <c r="C35" i="2"/>
  <c r="I35" i="2" s="1"/>
</calcChain>
</file>

<file path=xl/sharedStrings.xml><?xml version="1.0" encoding="utf-8"?>
<sst xmlns="http://schemas.openxmlformats.org/spreadsheetml/2006/main" count="264" uniqueCount="141">
  <si>
    <t>ID</t>
    <phoneticPr fontId="1"/>
  </si>
  <si>
    <t>位置</t>
    <rPh sb="0" eb="2">
      <t>イチ</t>
    </rPh>
    <phoneticPr fontId="1"/>
  </si>
  <si>
    <t>名前</t>
    <rPh sb="0" eb="2">
      <t>ナマエ</t>
    </rPh>
    <phoneticPr fontId="1"/>
  </si>
  <si>
    <t>説明</t>
    <rPh sb="0" eb="2">
      <t>セツメイ</t>
    </rPh>
    <phoneticPr fontId="1"/>
  </si>
  <si>
    <t>発動条件</t>
    <rPh sb="0" eb="4">
      <t>ハツドウジョウケン</t>
    </rPh>
    <phoneticPr fontId="1"/>
  </si>
  <si>
    <t>クールタイム</t>
    <phoneticPr fontId="1"/>
  </si>
  <si>
    <t>エフェクト</t>
    <phoneticPr fontId="1"/>
  </si>
  <si>
    <t>効果音</t>
    <rPh sb="0" eb="3">
      <t>コウカオン</t>
    </rPh>
    <phoneticPr fontId="1"/>
  </si>
  <si>
    <t>Front</t>
    <phoneticPr fontId="1"/>
  </si>
  <si>
    <t>Back</t>
    <phoneticPr fontId="1"/>
  </si>
  <si>
    <t>愚者</t>
    <rPh sb="0" eb="2">
      <t>グシャ</t>
    </rPh>
    <phoneticPr fontId="1"/>
  </si>
  <si>
    <t>魔術師</t>
    <rPh sb="0" eb="3">
      <t>マジュツシ</t>
    </rPh>
    <phoneticPr fontId="1"/>
  </si>
  <si>
    <t>女教皇</t>
    <rPh sb="0" eb="3">
      <t>オンナキョウコウ</t>
    </rPh>
    <phoneticPr fontId="1"/>
  </si>
  <si>
    <t>女帝</t>
    <rPh sb="0" eb="2">
      <t>ジョテイ</t>
    </rPh>
    <phoneticPr fontId="1"/>
  </si>
  <si>
    <t>皇帝</t>
    <rPh sb="0" eb="2">
      <t>コウテイ</t>
    </rPh>
    <phoneticPr fontId="1"/>
  </si>
  <si>
    <t>教皇</t>
    <rPh sb="0" eb="2">
      <t>キョウコウ</t>
    </rPh>
    <phoneticPr fontId="1"/>
  </si>
  <si>
    <t>恋人</t>
    <rPh sb="0" eb="2">
      <t>コイビト</t>
    </rPh>
    <phoneticPr fontId="1"/>
  </si>
  <si>
    <t>戦車</t>
    <rPh sb="0" eb="2">
      <t>センシャ</t>
    </rPh>
    <phoneticPr fontId="1"/>
  </si>
  <si>
    <t>力</t>
    <rPh sb="0" eb="1">
      <t>チカラ</t>
    </rPh>
    <phoneticPr fontId="1"/>
  </si>
  <si>
    <t>隠者</t>
    <rPh sb="0" eb="2">
      <t>インジャ</t>
    </rPh>
    <phoneticPr fontId="1"/>
  </si>
  <si>
    <t>運命の輪</t>
    <rPh sb="0" eb="2">
      <t>ウンメイ</t>
    </rPh>
    <rPh sb="3" eb="4">
      <t>ワ</t>
    </rPh>
    <phoneticPr fontId="1"/>
  </si>
  <si>
    <t>正義</t>
    <rPh sb="0" eb="2">
      <t>セイギ</t>
    </rPh>
    <phoneticPr fontId="1"/>
  </si>
  <si>
    <t>つるされた男</t>
    <rPh sb="5" eb="6">
      <t>オトコ</t>
    </rPh>
    <phoneticPr fontId="1"/>
  </si>
  <si>
    <t>死神</t>
    <rPh sb="0" eb="2">
      <t>シニガミ</t>
    </rPh>
    <phoneticPr fontId="1"/>
  </si>
  <si>
    <t>節制</t>
    <rPh sb="0" eb="2">
      <t>セッセイ</t>
    </rPh>
    <phoneticPr fontId="1"/>
  </si>
  <si>
    <t>悪魔</t>
    <rPh sb="0" eb="2">
      <t>アクマ</t>
    </rPh>
    <phoneticPr fontId="1"/>
  </si>
  <si>
    <t>星</t>
    <rPh sb="0" eb="1">
      <t>ホシ</t>
    </rPh>
    <phoneticPr fontId="1"/>
  </si>
  <si>
    <t>塔</t>
    <rPh sb="0" eb="1">
      <t>トウ</t>
    </rPh>
    <phoneticPr fontId="1"/>
  </si>
  <si>
    <t>月</t>
    <rPh sb="0" eb="1">
      <t>ツキ</t>
    </rPh>
    <phoneticPr fontId="1"/>
  </si>
  <si>
    <t>太陽</t>
    <rPh sb="0" eb="2">
      <t>タイヨウ</t>
    </rPh>
    <phoneticPr fontId="1"/>
  </si>
  <si>
    <t>審判</t>
    <rPh sb="0" eb="2">
      <t>シンパン</t>
    </rPh>
    <phoneticPr fontId="1"/>
  </si>
  <si>
    <t>世界</t>
    <rPh sb="0" eb="2">
      <t>セカイ</t>
    </rPh>
    <phoneticPr fontId="1"/>
  </si>
  <si>
    <t>画像</t>
    <rPh sb="0" eb="2">
      <t>ガゾウ</t>
    </rPh>
    <phoneticPr fontId="1"/>
  </si>
  <si>
    <t>ボタンで発動</t>
    <rPh sb="4" eb="6">
      <t>ハツドウ</t>
    </rPh>
    <phoneticPr fontId="1"/>
  </si>
  <si>
    <t>スタート時に発動</t>
    <rPh sb="4" eb="5">
      <t>ジ</t>
    </rPh>
    <rPh sb="6" eb="8">
      <t>ハツドウ</t>
    </rPh>
    <phoneticPr fontId="1"/>
  </si>
  <si>
    <t>#</t>
    <phoneticPr fontId="1"/>
  </si>
  <si>
    <t>愚者</t>
    <rPh sb="0" eb="2">
      <t>グシャ</t>
    </rPh>
    <phoneticPr fontId="1"/>
  </si>
  <si>
    <t>魔術師</t>
    <rPh sb="0" eb="3">
      <t>マジュツシ</t>
    </rPh>
    <phoneticPr fontId="1"/>
  </si>
  <si>
    <t>女教皇</t>
    <rPh sb="0" eb="3">
      <t>オンナキョウコウ</t>
    </rPh>
    <phoneticPr fontId="1"/>
  </si>
  <si>
    <t>女帝</t>
    <rPh sb="0" eb="2">
      <t>ジョテイ</t>
    </rPh>
    <phoneticPr fontId="1"/>
  </si>
  <si>
    <t>皇帝</t>
    <rPh sb="0" eb="2">
      <t>コウテイ</t>
    </rPh>
    <phoneticPr fontId="1"/>
  </si>
  <si>
    <t>教皇</t>
    <rPh sb="0" eb="2">
      <t>キョウコウ</t>
    </rPh>
    <phoneticPr fontId="1"/>
  </si>
  <si>
    <t>恋人</t>
    <rPh sb="0" eb="2">
      <t>コイビト</t>
    </rPh>
    <phoneticPr fontId="1"/>
  </si>
  <si>
    <t>戦車</t>
    <rPh sb="0" eb="2">
      <t>センシャ</t>
    </rPh>
    <phoneticPr fontId="1"/>
  </si>
  <si>
    <t>力</t>
    <rPh sb="0" eb="1">
      <t>チカラ</t>
    </rPh>
    <phoneticPr fontId="1"/>
  </si>
  <si>
    <t>隠者</t>
    <rPh sb="0" eb="2">
      <t>インジャ</t>
    </rPh>
    <phoneticPr fontId="1"/>
  </si>
  <si>
    <t>運命の輪</t>
    <rPh sb="0" eb="2">
      <t>ウンメイ</t>
    </rPh>
    <rPh sb="3" eb="4">
      <t>ワ</t>
    </rPh>
    <phoneticPr fontId="1"/>
  </si>
  <si>
    <t>正義</t>
    <rPh sb="0" eb="2">
      <t>セイギ</t>
    </rPh>
    <phoneticPr fontId="1"/>
  </si>
  <si>
    <t>つるされた男</t>
    <rPh sb="5" eb="6">
      <t>オトコ</t>
    </rPh>
    <phoneticPr fontId="1"/>
  </si>
  <si>
    <t>死神</t>
    <rPh sb="0" eb="2">
      <t>シニガミ</t>
    </rPh>
    <phoneticPr fontId="1"/>
  </si>
  <si>
    <t>節制</t>
    <rPh sb="0" eb="2">
      <t>セッセイ</t>
    </rPh>
    <phoneticPr fontId="1"/>
  </si>
  <si>
    <t>悪魔</t>
    <rPh sb="0" eb="2">
      <t>アクマ</t>
    </rPh>
    <phoneticPr fontId="1"/>
  </si>
  <si>
    <t>塔</t>
    <rPh sb="0" eb="1">
      <t>トウ</t>
    </rPh>
    <phoneticPr fontId="1"/>
  </si>
  <si>
    <t>星</t>
    <rPh sb="0" eb="1">
      <t>ホシ</t>
    </rPh>
    <phoneticPr fontId="1"/>
  </si>
  <si>
    <t>月</t>
    <rPh sb="0" eb="1">
      <t>ツキ</t>
    </rPh>
    <phoneticPr fontId="1"/>
  </si>
  <si>
    <t>太陽</t>
    <rPh sb="0" eb="2">
      <t>タイヨウ</t>
    </rPh>
    <phoneticPr fontId="1"/>
  </si>
  <si>
    <t>審判</t>
    <rPh sb="0" eb="2">
      <t>シンパン</t>
    </rPh>
    <phoneticPr fontId="1"/>
  </si>
  <si>
    <t>世界</t>
    <rPh sb="0" eb="2">
      <t>セカイ</t>
    </rPh>
    <phoneticPr fontId="1"/>
  </si>
  <si>
    <t>アルカナ名</t>
    <rPh sb="4" eb="5">
      <t>メイ</t>
    </rPh>
    <phoneticPr fontId="1"/>
  </si>
  <si>
    <t>Fool</t>
  </si>
  <si>
    <t>Magician</t>
  </si>
  <si>
    <t>HighPriestess</t>
  </si>
  <si>
    <t>Empress</t>
  </si>
  <si>
    <t>Emperor</t>
  </si>
  <si>
    <t>Hierophant</t>
  </si>
  <si>
    <t>Lovers</t>
  </si>
  <si>
    <t>Chariot</t>
  </si>
  <si>
    <t>Strength</t>
  </si>
  <si>
    <t>Hermit</t>
  </si>
  <si>
    <t>WheelOfFortune</t>
  </si>
  <si>
    <t>Justice</t>
  </si>
  <si>
    <t>HangedMan</t>
  </si>
  <si>
    <t>Death</t>
  </si>
  <si>
    <t>Temperance</t>
  </si>
  <si>
    <t>Devil</t>
  </si>
  <si>
    <t>Tower</t>
  </si>
  <si>
    <t>Star</t>
  </si>
  <si>
    <t>Moon</t>
  </si>
  <si>
    <t>Sun</t>
  </si>
  <si>
    <t>Judgement</t>
  </si>
  <si>
    <t>World</t>
  </si>
  <si>
    <t>Key</t>
    <phoneticPr fontId="1"/>
  </si>
  <si>
    <t>エフェクト名</t>
    <rPh sb="5" eb="6">
      <t>メイ</t>
    </rPh>
    <phoneticPr fontId="1"/>
  </si>
  <si>
    <t>効果音名</t>
    <rPh sb="0" eb="4">
      <t>コウカオンメイ</t>
    </rPh>
    <phoneticPr fontId="1"/>
  </si>
  <si>
    <t>Audio/SE</t>
    <phoneticPr fontId="1"/>
  </si>
  <si>
    <t>向き</t>
    <rPh sb="0" eb="1">
      <t>ム</t>
    </rPh>
    <phoneticPr fontId="1"/>
  </si>
  <si>
    <t>Front</t>
    <phoneticPr fontId="1"/>
  </si>
  <si>
    <t>Back</t>
    <phoneticPr fontId="1"/>
  </si>
  <si>
    <t>StartEffect</t>
    <phoneticPr fontId="1"/>
  </si>
  <si>
    <t>Command</t>
    <phoneticPr fontId="1"/>
  </si>
  <si>
    <t>SkillEffect</t>
    <phoneticPr fontId="1"/>
  </si>
  <si>
    <t>DamageEffect</t>
    <phoneticPr fontId="1"/>
  </si>
  <si>
    <t>DeathEffect</t>
    <phoneticPr fontId="1"/>
  </si>
  <si>
    <t>スキル発動時に発動</t>
    <rPh sb="3" eb="5">
      <t>ハツドウ</t>
    </rPh>
    <rPh sb="5" eb="6">
      <t>ジ</t>
    </rPh>
    <rPh sb="7" eb="9">
      <t>ハツドウ</t>
    </rPh>
    <phoneticPr fontId="1"/>
  </si>
  <si>
    <t>ダメージで発動</t>
    <rPh sb="5" eb="7">
      <t>ハツドウ</t>
    </rPh>
    <phoneticPr fontId="1"/>
  </si>
  <si>
    <t>死亡時に発動</t>
    <rPh sb="0" eb="3">
      <t>シボウジ</t>
    </rPh>
    <rPh sb="4" eb="6">
      <t>ハツドウ</t>
    </rPh>
    <phoneticPr fontId="1"/>
  </si>
  <si>
    <t>Monster</t>
    <phoneticPr fontId="1"/>
  </si>
  <si>
    <t>Effect/Arcana</t>
    <phoneticPr fontId="1"/>
  </si>
  <si>
    <t>何も持たなくても勝てることが証明できるカード</t>
    <rPh sb="0" eb="1">
      <t>ナニ</t>
    </rPh>
    <rPh sb="2" eb="3">
      <t>モ</t>
    </rPh>
    <rPh sb="8" eb="9">
      <t>カ</t>
    </rPh>
    <rPh sb="14" eb="16">
      <t>ショウメイ</t>
    </rPh>
    <phoneticPr fontId="1"/>
  </si>
  <si>
    <t>防御無視を付与できるカード</t>
    <rPh sb="0" eb="4">
      <t>ボウギョムシ</t>
    </rPh>
    <rPh sb="5" eb="7">
      <t>フヨ</t>
    </rPh>
    <phoneticPr fontId="1"/>
  </si>
  <si>
    <t>召喚物を出せるカード</t>
    <rPh sb="0" eb="3">
      <t>ショウカンブツ</t>
    </rPh>
    <rPh sb="4" eb="5">
      <t>ダ</t>
    </rPh>
    <phoneticPr fontId="1"/>
  </si>
  <si>
    <t>時間がたつほど強くなるカード</t>
    <rPh sb="0" eb="2">
      <t>ジカン</t>
    </rPh>
    <rPh sb="7" eb="8">
      <t>ツヨ</t>
    </rPh>
    <phoneticPr fontId="1"/>
  </si>
  <si>
    <t>時間がたつほど弱くなるカード</t>
    <rPh sb="0" eb="2">
      <t>ジカン</t>
    </rPh>
    <rPh sb="7" eb="8">
      <t>ヨワ</t>
    </rPh>
    <phoneticPr fontId="1"/>
  </si>
  <si>
    <t>自然治癒を付与するカード</t>
    <rPh sb="0" eb="4">
      <t>シゼンチユ</t>
    </rPh>
    <rPh sb="5" eb="7">
      <t>フヨ</t>
    </rPh>
    <phoneticPr fontId="1"/>
  </si>
  <si>
    <t>ランダムでバフやデバフがつくカード</t>
    <phoneticPr fontId="1"/>
  </si>
  <si>
    <t>スキル禁止を付与するカード</t>
    <rPh sb="3" eb="5">
      <t>キンシ</t>
    </rPh>
    <rPh sb="6" eb="8">
      <t>フヨ</t>
    </rPh>
    <phoneticPr fontId="1"/>
  </si>
  <si>
    <t>通常攻撃は振れないがダメージが上がるカード</t>
    <rPh sb="0" eb="4">
      <t>ツウジョウコウゲキ</t>
    </rPh>
    <rPh sb="5" eb="6">
      <t>フ</t>
    </rPh>
    <rPh sb="15" eb="16">
      <t>ア</t>
    </rPh>
    <phoneticPr fontId="1"/>
  </si>
  <si>
    <t>スキルの当たり判定が大きくなるカード</t>
    <rPh sb="4" eb="5">
      <t>ア</t>
    </rPh>
    <rPh sb="7" eb="9">
      <t>ハンテイ</t>
    </rPh>
    <rPh sb="10" eb="11">
      <t>オオ</t>
    </rPh>
    <phoneticPr fontId="1"/>
  </si>
  <si>
    <t>敵の行動を逆にするカード</t>
    <rPh sb="0" eb="1">
      <t>テキ</t>
    </rPh>
    <rPh sb="2" eb="4">
      <t>コウドウ</t>
    </rPh>
    <rPh sb="5" eb="6">
      <t>ギャク</t>
    </rPh>
    <phoneticPr fontId="1"/>
  </si>
  <si>
    <t>敵がダメージを肩代わりしてくれるカード</t>
    <rPh sb="0" eb="1">
      <t>テキ</t>
    </rPh>
    <rPh sb="7" eb="9">
      <t>カタガ</t>
    </rPh>
    <phoneticPr fontId="1"/>
  </si>
  <si>
    <t>自分以外の視界を暗くするカード</t>
    <rPh sb="0" eb="4">
      <t>ジブンイガイ</t>
    </rPh>
    <rPh sb="5" eb="7">
      <t>シカイ</t>
    </rPh>
    <rPh sb="8" eb="9">
      <t>クラ</t>
    </rPh>
    <phoneticPr fontId="1"/>
  </si>
  <si>
    <t>スキル発動の予備動作の時間が半分になるカード</t>
    <rPh sb="3" eb="5">
      <t>ハツドウ</t>
    </rPh>
    <rPh sb="6" eb="10">
      <t>ヨビドウサ</t>
    </rPh>
    <rPh sb="11" eb="13">
      <t>ジカン</t>
    </rPh>
    <rPh sb="14" eb="16">
      <t>ハンブン</t>
    </rPh>
    <phoneticPr fontId="1"/>
  </si>
  <si>
    <t>攻撃力を上げるカード</t>
    <rPh sb="0" eb="3">
      <t>コウゲキリョク</t>
    </rPh>
    <rPh sb="4" eb="5">
      <t>ア</t>
    </rPh>
    <phoneticPr fontId="1"/>
  </si>
  <si>
    <t>HPを上げるカード</t>
    <rPh sb="3" eb="4">
      <t>ア</t>
    </rPh>
    <phoneticPr fontId="1"/>
  </si>
  <si>
    <t>HPが減るたび他のステータスが上がるカード</t>
    <rPh sb="3" eb="4">
      <t>ヘ</t>
    </rPh>
    <rPh sb="7" eb="8">
      <t>ホカ</t>
    </rPh>
    <rPh sb="15" eb="16">
      <t>ア</t>
    </rPh>
    <phoneticPr fontId="1"/>
  </si>
  <si>
    <t>人が回復したHPを半分奪うカード</t>
    <rPh sb="0" eb="1">
      <t>ヒト</t>
    </rPh>
    <rPh sb="2" eb="4">
      <t>カイフク</t>
    </rPh>
    <rPh sb="9" eb="11">
      <t>ハンブン</t>
    </rPh>
    <rPh sb="11" eb="12">
      <t>ウバ</t>
    </rPh>
    <phoneticPr fontId="1"/>
  </si>
  <si>
    <t>トラップを設置するカード</t>
    <rPh sb="5" eb="7">
      <t>セッチ</t>
    </rPh>
    <phoneticPr fontId="1"/>
  </si>
  <si>
    <t>ランダムな場所にテレポートするカード</t>
    <rPh sb="5" eb="7">
      <t>バショ</t>
    </rPh>
    <phoneticPr fontId="1"/>
  </si>
  <si>
    <t>敵をジャンプ禁止にするカード</t>
    <rPh sb="0" eb="1">
      <t>テキ</t>
    </rPh>
    <rPh sb="6" eb="8">
      <t>キンシ</t>
    </rPh>
    <phoneticPr fontId="1"/>
  </si>
  <si>
    <t>カウンターを付与するカード</t>
    <rPh sb="6" eb="8">
      <t>フヨ</t>
    </rPh>
    <phoneticPr fontId="1"/>
  </si>
  <si>
    <t>視点が反対になるカード</t>
    <rPh sb="0" eb="2">
      <t>シテン</t>
    </rPh>
    <rPh sb="3" eb="5">
      <t>ハンタイ</t>
    </rPh>
    <phoneticPr fontId="1"/>
  </si>
  <si>
    <t>運気が上がるカード</t>
    <rPh sb="0" eb="2">
      <t>ウンキ</t>
    </rPh>
    <rPh sb="3" eb="4">
      <t>ア</t>
    </rPh>
    <phoneticPr fontId="1"/>
  </si>
  <si>
    <t>相手にダメージを与えたときに回復するカード</t>
    <rPh sb="0" eb="2">
      <t>アイテ</t>
    </rPh>
    <rPh sb="8" eb="9">
      <t>アタ</t>
    </rPh>
    <rPh sb="14" eb="16">
      <t>カイフク</t>
    </rPh>
    <phoneticPr fontId="1"/>
  </si>
  <si>
    <t>自分のスキルのクールタイムを早くするカード</t>
    <rPh sb="0" eb="2">
      <t>ジブン</t>
    </rPh>
    <rPh sb="14" eb="15">
      <t>ハヤ</t>
    </rPh>
    <phoneticPr fontId="1"/>
  </si>
  <si>
    <t>敵のクールタイムを遅くするカード</t>
    <rPh sb="0" eb="1">
      <t>テキ</t>
    </rPh>
    <rPh sb="9" eb="10">
      <t>オソ</t>
    </rPh>
    <phoneticPr fontId="1"/>
  </si>
  <si>
    <t>自分のバフ・デバフを消し、その分攻撃力が上がるカード</t>
    <rPh sb="0" eb="2">
      <t>ジブン</t>
    </rPh>
    <rPh sb="10" eb="11">
      <t>ケ</t>
    </rPh>
    <rPh sb="15" eb="16">
      <t>ブン</t>
    </rPh>
    <rPh sb="16" eb="19">
      <t>コウゲキリョク</t>
    </rPh>
    <rPh sb="20" eb="21">
      <t>ア</t>
    </rPh>
    <phoneticPr fontId="1"/>
  </si>
  <si>
    <t>タレットがおけるカード</t>
    <phoneticPr fontId="1"/>
  </si>
  <si>
    <t>確率で数秒後にスキルが再発動するカード</t>
    <rPh sb="0" eb="2">
      <t>カクリツ</t>
    </rPh>
    <rPh sb="3" eb="6">
      <t>スウビョウゴ</t>
    </rPh>
    <rPh sb="11" eb="14">
      <t>サイハツドウ</t>
    </rPh>
    <phoneticPr fontId="1"/>
  </si>
  <si>
    <t>あなたが注目を浴びるカード</t>
    <rPh sb="4" eb="6">
      <t>チュウモク</t>
    </rPh>
    <rPh sb="7" eb="8">
      <t>ア</t>
    </rPh>
    <phoneticPr fontId="1"/>
  </si>
  <si>
    <t>無敵を付与するカード</t>
    <rPh sb="0" eb="2">
      <t>ムテキ</t>
    </rPh>
    <rPh sb="3" eb="5">
      <t>フヨ</t>
    </rPh>
    <phoneticPr fontId="1"/>
  </si>
  <si>
    <t>晴れ日和になるカード</t>
    <rPh sb="0" eb="1">
      <t>ハ</t>
    </rPh>
    <rPh sb="2" eb="4">
      <t>ビヨリ</t>
    </rPh>
    <phoneticPr fontId="1"/>
  </si>
  <si>
    <t>敵をスタンするカード</t>
    <rPh sb="0" eb="1">
      <t>テキ</t>
    </rPh>
    <phoneticPr fontId="1"/>
  </si>
  <si>
    <t>銃弾の雨が降ってくるカード</t>
    <rPh sb="0" eb="2">
      <t>ジュウダン</t>
    </rPh>
    <rPh sb="3" eb="4">
      <t>アメ</t>
    </rPh>
    <rPh sb="5" eb="6">
      <t>フ</t>
    </rPh>
    <phoneticPr fontId="1"/>
  </si>
  <si>
    <t>二段ジャンプができるカード</t>
    <rPh sb="0" eb="2">
      <t>ニダン</t>
    </rPh>
    <phoneticPr fontId="1"/>
  </si>
  <si>
    <t>次元移動ができるカード</t>
    <rPh sb="0" eb="4">
      <t>ジゲンイドウ</t>
    </rPh>
    <phoneticPr fontId="1"/>
  </si>
  <si>
    <t>移動速度が速くなるカード</t>
    <rPh sb="0" eb="4">
      <t>イドウソクド</t>
    </rPh>
    <rPh sb="5" eb="6">
      <t>ハヤ</t>
    </rPh>
    <phoneticPr fontId="1"/>
  </si>
  <si>
    <t>Dice</t>
    <phoneticPr fontId="1"/>
  </si>
  <si>
    <t>Trap</t>
    <phoneticPr fontId="1"/>
  </si>
  <si>
    <t>Turret</t>
    <phoneticPr fontId="1"/>
  </si>
  <si>
    <t>miniBullet</t>
    <phoneticPr fontId="1"/>
  </si>
  <si>
    <t>敵に一定のダメージを与えるカード</t>
    <rPh sb="0" eb="1">
      <t>テキ</t>
    </rPh>
    <rPh sb="2" eb="4">
      <t>イッテイ</t>
    </rPh>
    <rPh sb="10" eb="11">
      <t>アタ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</si>
</sst>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15C581-8351-4C19-88DA-A890D1F26A5A}" name="ArcanaMaster" displayName="ArcanaMaster" ref="A1:D45" totalsRowShown="0">
  <autoFilter ref="A1:D45" xr:uid="{9D910B5F-CE33-4841-83B3-3040E6D3B936}"/>
  <tableColumns count="4">
    <tableColumn id="1" xr3:uid="{65175C44-F81B-4B6B-B85A-4B77B2D8D94C}" name="ID"/>
    <tableColumn id="2" xr3:uid="{C1D039E5-540F-4BA0-A810-85236C0CDD0E}" name="位置"/>
    <tableColumn id="3" xr3:uid="{6BE0F20E-0384-4641-936C-55C7A196FF36}" name="名前"/>
    <tableColumn id="4" xr3:uid="{1BB2AF53-AE2E-4EE3-BC16-A160656FF0E8}" name="画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1B0832-E473-431C-92A8-162988D5197C}" name="ArcanaData" displayName="ArcanaData" ref="A1:I45">
  <autoFilter ref="A1:I45" xr:uid="{48DDBA56-844D-4376-B3AF-39BFA95D20A0}"/>
  <tableColumns count="9">
    <tableColumn id="1" xr3:uid="{A65AA5B3-5D9F-4A53-8148-4A18A64938A2}" name="ID" totalsRowLabel="集計">
      <calculatedColumnFormula>INDEX(ArcanaMaster[ID], ROW()-1)</calculatedColumnFormula>
    </tableColumn>
    <tableColumn id="2" xr3:uid="{8B3AF7D8-90E1-41EA-A326-FEF9F023D495}" name="位置" dataDxfId="7">
      <calculatedColumnFormula>VLOOKUP(ArcanaMaster[[#This Row],[位置]],選択用フィールド!$I$2:$J$3,2,FALSE)</calculatedColumnFormula>
    </tableColumn>
    <tableColumn id="3" xr3:uid="{4A1C811B-6B1C-4D9F-BF47-2AB531A152AE}" name="名前">
      <calculatedColumnFormula>ArcanaMaster[[#This Row],[名前]]</calculatedColumnFormula>
    </tableColumn>
    <tableColumn id="4" xr3:uid="{0BD2B815-7AB6-4889-AB14-173E2739EDD5}" name="発動条件" dataDxfId="6">
      <calculatedColumnFormula>VLOOKUP(InputData[[#This Row],[発動条件]],選択用フィールド!$A$2:$B$6,2,FALSE)</calculatedColumnFormula>
    </tableColumn>
    <tableColumn id="5" xr3:uid="{32000BF7-9753-45FD-B2D6-344E111A7D1C}" name="クールタイム" dataDxfId="5">
      <calculatedColumnFormula>InputData[[#This Row],[クールタイム]]</calculatedColumnFormula>
    </tableColumn>
    <tableColumn id="6" xr3:uid="{55BA9E8F-6644-465A-AB88-421F37320DF0}" name="エフェクト" dataDxfId="4">
      <calculatedColumnFormula>選択用フィールド!$G$2&amp;"/"&amp;InputData[[#This Row],[エフェクト]]</calculatedColumnFormula>
    </tableColumn>
    <tableColumn id="7" xr3:uid="{6B3E9D4E-9BFE-45EB-B383-B8876BCA5578}" name="効果音" dataDxfId="3">
      <calculatedColumnFormula>InputData[[#This Row],[効果音]]</calculatedColumnFormula>
    </tableColumn>
    <tableColumn id="8" xr3:uid="{DCFB5C57-5B5E-4F36-8AA3-07C99FB1DC34}" name="説明" totalsRowFunction="count" dataDxfId="2">
      <calculatedColumnFormula>InputData[[#This Row],[説明]]</calculatedColumnFormula>
    </tableColumn>
    <tableColumn id="9" xr3:uid="{8A63BDCB-9472-4EC5-B67D-57234FDEFD85}" name="Key" dataDxfId="1">
      <calculatedColumnFormula>"Arcana"&amp;TEXT(A2, "00")&amp;VLOOKUP(ArcanaData[[#This Row],[名前]],選択用フィールド!$D$2:$E$23,2,FALSE)&amp;ArcanaMaster[[#This Row],[位置]]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2B68BED-962F-4870-BA6F-652EF427085D}" name="InputData" displayName="InputData" ref="A1:G45" totalsRowShown="0">
  <autoFilter ref="A1:G45" xr:uid="{E1D23D5A-3AD7-47D8-AA45-95C0A75F6512}"/>
  <tableColumns count="7">
    <tableColumn id="1" xr3:uid="{943AAEBB-23E9-478C-8557-7FBD3B23051C}" name="名前">
      <calculatedColumnFormula>ArcanaMaster[[#This Row],[名前]]</calculatedColumnFormula>
    </tableColumn>
    <tableColumn id="2" xr3:uid="{8863BAAE-8966-45DE-B9A8-7E5C558E2343}" name="位置" dataDxfId="0">
      <calculatedColumnFormula>IF(ArcanaMaster[[#This Row],[位置]]="Front", "正位置", "逆位置")</calculatedColumnFormula>
    </tableColumn>
    <tableColumn id="3" xr3:uid="{9CC9AC39-DB18-4755-8804-BCD12C30BA72}" name="発動条件"/>
    <tableColumn id="4" xr3:uid="{61DC2438-3102-47C3-AF1E-24060A02B3B6}" name="クールタイム"/>
    <tableColumn id="5" xr3:uid="{857F1D44-D30F-42A8-A077-2C649CA34483}" name="エフェクト"/>
    <tableColumn id="6" xr3:uid="{9FDC755C-C1F1-451F-9F56-57E80BEF9975}" name="効果音"/>
    <tableColumn id="7" xr3:uid="{2ABA92AA-D98D-4FD7-A61F-364616B2E89F}" name="説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0381-C300-473B-9D6A-8D8B9047D757}">
  <dimension ref="A1:D45"/>
  <sheetViews>
    <sheetView tabSelected="1" workbookViewId="0">
      <selection activeCell="H4" sqref="H4"/>
    </sheetView>
  </sheetViews>
  <sheetFormatPr defaultRowHeight="18" x14ac:dyDescent="0.45"/>
  <cols>
    <col min="3" max="3" width="12.3984375" bestFit="1" customWidth="1"/>
    <col min="4" max="4" width="23.8984375" customWidth="1"/>
    <col min="5" max="5" width="9.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32</v>
      </c>
    </row>
    <row r="2" spans="1:4" x14ac:dyDescent="0.45">
      <c r="A2">
        <v>0</v>
      </c>
      <c r="B2" t="s">
        <v>8</v>
      </c>
      <c r="C2" t="s">
        <v>10</v>
      </c>
    </row>
    <row r="3" spans="1:4" x14ac:dyDescent="0.45">
      <c r="A3">
        <v>0</v>
      </c>
      <c r="B3" t="s">
        <v>9</v>
      </c>
      <c r="C3" t="s">
        <v>10</v>
      </c>
    </row>
    <row r="4" spans="1:4" x14ac:dyDescent="0.45">
      <c r="A4">
        <v>1</v>
      </c>
      <c r="B4" t="s">
        <v>8</v>
      </c>
      <c r="C4" t="s">
        <v>11</v>
      </c>
    </row>
    <row r="5" spans="1:4" x14ac:dyDescent="0.45">
      <c r="A5">
        <v>1</v>
      </c>
      <c r="B5" t="s">
        <v>9</v>
      </c>
      <c r="C5" t="s">
        <v>11</v>
      </c>
    </row>
    <row r="6" spans="1:4" x14ac:dyDescent="0.45">
      <c r="A6">
        <v>2</v>
      </c>
      <c r="B6" t="s">
        <v>8</v>
      </c>
      <c r="C6" t="s">
        <v>12</v>
      </c>
    </row>
    <row r="7" spans="1:4" x14ac:dyDescent="0.45">
      <c r="A7">
        <v>2</v>
      </c>
      <c r="B7" t="s">
        <v>9</v>
      </c>
      <c r="C7" t="s">
        <v>12</v>
      </c>
    </row>
    <row r="8" spans="1:4" x14ac:dyDescent="0.45">
      <c r="A8">
        <v>3</v>
      </c>
      <c r="B8" t="s">
        <v>8</v>
      </c>
      <c r="C8" t="s">
        <v>13</v>
      </c>
    </row>
    <row r="9" spans="1:4" x14ac:dyDescent="0.45">
      <c r="A9">
        <v>3</v>
      </c>
      <c r="B9" t="s">
        <v>9</v>
      </c>
      <c r="C9" t="s">
        <v>13</v>
      </c>
    </row>
    <row r="10" spans="1:4" x14ac:dyDescent="0.45">
      <c r="A10">
        <v>4</v>
      </c>
      <c r="B10" t="s">
        <v>8</v>
      </c>
      <c r="C10" t="s">
        <v>14</v>
      </c>
    </row>
    <row r="11" spans="1:4" x14ac:dyDescent="0.45">
      <c r="A11">
        <v>4</v>
      </c>
      <c r="B11" t="s">
        <v>9</v>
      </c>
      <c r="C11" t="s">
        <v>14</v>
      </c>
    </row>
    <row r="12" spans="1:4" x14ac:dyDescent="0.45">
      <c r="A12">
        <v>5</v>
      </c>
      <c r="B12" t="s">
        <v>8</v>
      </c>
      <c r="C12" t="s">
        <v>15</v>
      </c>
    </row>
    <row r="13" spans="1:4" x14ac:dyDescent="0.45">
      <c r="A13">
        <v>5</v>
      </c>
      <c r="B13" t="s">
        <v>9</v>
      </c>
      <c r="C13" t="s">
        <v>15</v>
      </c>
    </row>
    <row r="14" spans="1:4" x14ac:dyDescent="0.45">
      <c r="A14">
        <v>6</v>
      </c>
      <c r="B14" t="s">
        <v>8</v>
      </c>
      <c r="C14" t="s">
        <v>16</v>
      </c>
    </row>
    <row r="15" spans="1:4" x14ac:dyDescent="0.45">
      <c r="A15">
        <v>6</v>
      </c>
      <c r="B15" t="s">
        <v>9</v>
      </c>
      <c r="C15" t="s">
        <v>16</v>
      </c>
    </row>
    <row r="16" spans="1:4" x14ac:dyDescent="0.45">
      <c r="A16">
        <v>7</v>
      </c>
      <c r="B16" t="s">
        <v>8</v>
      </c>
      <c r="C16" t="s">
        <v>17</v>
      </c>
    </row>
    <row r="17" spans="1:3" x14ac:dyDescent="0.45">
      <c r="A17">
        <v>7</v>
      </c>
      <c r="B17" t="s">
        <v>9</v>
      </c>
      <c r="C17" t="s">
        <v>17</v>
      </c>
    </row>
    <row r="18" spans="1:3" x14ac:dyDescent="0.45">
      <c r="A18">
        <v>8</v>
      </c>
      <c r="B18" t="s">
        <v>8</v>
      </c>
      <c r="C18" t="s">
        <v>18</v>
      </c>
    </row>
    <row r="19" spans="1:3" x14ac:dyDescent="0.45">
      <c r="A19">
        <v>8</v>
      </c>
      <c r="B19" t="s">
        <v>9</v>
      </c>
      <c r="C19" t="s">
        <v>18</v>
      </c>
    </row>
    <row r="20" spans="1:3" x14ac:dyDescent="0.45">
      <c r="A20">
        <v>9</v>
      </c>
      <c r="B20" t="s">
        <v>8</v>
      </c>
      <c r="C20" t="s">
        <v>19</v>
      </c>
    </row>
    <row r="21" spans="1:3" x14ac:dyDescent="0.45">
      <c r="A21">
        <v>9</v>
      </c>
      <c r="B21" t="s">
        <v>9</v>
      </c>
      <c r="C21" t="s">
        <v>19</v>
      </c>
    </row>
    <row r="22" spans="1:3" x14ac:dyDescent="0.45">
      <c r="A22">
        <v>10</v>
      </c>
      <c r="B22" t="s">
        <v>8</v>
      </c>
      <c r="C22" t="s">
        <v>20</v>
      </c>
    </row>
    <row r="23" spans="1:3" x14ac:dyDescent="0.45">
      <c r="A23">
        <v>10</v>
      </c>
      <c r="B23" t="s">
        <v>9</v>
      </c>
      <c r="C23" t="s">
        <v>20</v>
      </c>
    </row>
    <row r="24" spans="1:3" x14ac:dyDescent="0.45">
      <c r="A24">
        <v>11</v>
      </c>
      <c r="B24" t="s">
        <v>8</v>
      </c>
      <c r="C24" t="s">
        <v>21</v>
      </c>
    </row>
    <row r="25" spans="1:3" x14ac:dyDescent="0.45">
      <c r="A25">
        <v>11</v>
      </c>
      <c r="B25" t="s">
        <v>9</v>
      </c>
      <c r="C25" t="s">
        <v>21</v>
      </c>
    </row>
    <row r="26" spans="1:3" x14ac:dyDescent="0.45">
      <c r="A26">
        <v>12</v>
      </c>
      <c r="B26" t="s">
        <v>8</v>
      </c>
      <c r="C26" t="s">
        <v>22</v>
      </c>
    </row>
    <row r="27" spans="1:3" x14ac:dyDescent="0.45">
      <c r="A27">
        <v>12</v>
      </c>
      <c r="B27" t="s">
        <v>9</v>
      </c>
      <c r="C27" t="s">
        <v>22</v>
      </c>
    </row>
    <row r="28" spans="1:3" x14ac:dyDescent="0.45">
      <c r="A28">
        <v>13</v>
      </c>
      <c r="B28" t="s">
        <v>8</v>
      </c>
      <c r="C28" t="s">
        <v>23</v>
      </c>
    </row>
    <row r="29" spans="1:3" x14ac:dyDescent="0.45">
      <c r="A29">
        <v>13</v>
      </c>
      <c r="B29" t="s">
        <v>9</v>
      </c>
      <c r="C29" t="s">
        <v>23</v>
      </c>
    </row>
    <row r="30" spans="1:3" x14ac:dyDescent="0.45">
      <c r="A30">
        <v>14</v>
      </c>
      <c r="B30" t="s">
        <v>8</v>
      </c>
      <c r="C30" t="s">
        <v>24</v>
      </c>
    </row>
    <row r="31" spans="1:3" x14ac:dyDescent="0.45">
      <c r="A31">
        <v>14</v>
      </c>
      <c r="B31" t="s">
        <v>9</v>
      </c>
      <c r="C31" t="s">
        <v>24</v>
      </c>
    </row>
    <row r="32" spans="1:3" x14ac:dyDescent="0.45">
      <c r="A32">
        <v>15</v>
      </c>
      <c r="B32" t="s">
        <v>8</v>
      </c>
      <c r="C32" t="s">
        <v>25</v>
      </c>
    </row>
    <row r="33" spans="1:3" x14ac:dyDescent="0.45">
      <c r="A33">
        <v>15</v>
      </c>
      <c r="B33" t="s">
        <v>9</v>
      </c>
      <c r="C33" t="s">
        <v>25</v>
      </c>
    </row>
    <row r="34" spans="1:3" x14ac:dyDescent="0.45">
      <c r="A34">
        <v>16</v>
      </c>
      <c r="B34" t="s">
        <v>8</v>
      </c>
      <c r="C34" t="s">
        <v>27</v>
      </c>
    </row>
    <row r="35" spans="1:3" x14ac:dyDescent="0.45">
      <c r="A35">
        <v>16</v>
      </c>
      <c r="B35" t="s">
        <v>9</v>
      </c>
      <c r="C35" t="s">
        <v>27</v>
      </c>
    </row>
    <row r="36" spans="1:3" x14ac:dyDescent="0.45">
      <c r="A36">
        <v>17</v>
      </c>
      <c r="B36" t="s">
        <v>8</v>
      </c>
      <c r="C36" t="s">
        <v>26</v>
      </c>
    </row>
    <row r="37" spans="1:3" x14ac:dyDescent="0.45">
      <c r="A37">
        <v>17</v>
      </c>
      <c r="B37" t="s">
        <v>9</v>
      </c>
      <c r="C37" t="s">
        <v>26</v>
      </c>
    </row>
    <row r="38" spans="1:3" x14ac:dyDescent="0.45">
      <c r="A38">
        <v>18</v>
      </c>
      <c r="B38" t="s">
        <v>8</v>
      </c>
      <c r="C38" t="s">
        <v>28</v>
      </c>
    </row>
    <row r="39" spans="1:3" x14ac:dyDescent="0.45">
      <c r="A39">
        <v>18</v>
      </c>
      <c r="B39" t="s">
        <v>9</v>
      </c>
      <c r="C39" t="s">
        <v>28</v>
      </c>
    </row>
    <row r="40" spans="1:3" x14ac:dyDescent="0.45">
      <c r="A40">
        <v>19</v>
      </c>
      <c r="B40" t="s">
        <v>8</v>
      </c>
      <c r="C40" t="s">
        <v>29</v>
      </c>
    </row>
    <row r="41" spans="1:3" x14ac:dyDescent="0.45">
      <c r="A41">
        <v>19</v>
      </c>
      <c r="B41" t="s">
        <v>9</v>
      </c>
      <c r="C41" t="s">
        <v>29</v>
      </c>
    </row>
    <row r="42" spans="1:3" x14ac:dyDescent="0.45">
      <c r="A42">
        <v>20</v>
      </c>
      <c r="B42" t="s">
        <v>8</v>
      </c>
      <c r="C42" t="s">
        <v>30</v>
      </c>
    </row>
    <row r="43" spans="1:3" x14ac:dyDescent="0.45">
      <c r="A43">
        <v>20</v>
      </c>
      <c r="B43" t="s">
        <v>9</v>
      </c>
      <c r="C43" t="s">
        <v>30</v>
      </c>
    </row>
    <row r="44" spans="1:3" x14ac:dyDescent="0.45">
      <c r="A44">
        <v>21</v>
      </c>
      <c r="B44" t="s">
        <v>8</v>
      </c>
      <c r="C44" t="s">
        <v>31</v>
      </c>
    </row>
    <row r="45" spans="1:3" x14ac:dyDescent="0.45">
      <c r="A45">
        <v>21</v>
      </c>
      <c r="B45" t="s">
        <v>9</v>
      </c>
      <c r="C45" t="s">
        <v>31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B5D73-7EAF-422C-8FF3-EA2211BD96FE}">
  <dimension ref="A1:I45"/>
  <sheetViews>
    <sheetView workbookViewId="0">
      <selection activeCell="D21" sqref="D21"/>
    </sheetView>
  </sheetViews>
  <sheetFormatPr defaultRowHeight="18" x14ac:dyDescent="0.45"/>
  <cols>
    <col min="2" max="2" width="7" bestFit="1" customWidth="1"/>
    <col min="3" max="3" width="12.3984375" bestFit="1" customWidth="1"/>
    <col min="4" max="4" width="13" bestFit="1" customWidth="1"/>
    <col min="5" max="5" width="13.19921875" customWidth="1"/>
    <col min="6" max="6" width="20.69921875" bestFit="1" customWidth="1"/>
    <col min="7" max="7" width="10.19921875" bestFit="1" customWidth="1"/>
    <col min="8" max="8" width="51.3984375" bestFit="1" customWidth="1"/>
    <col min="9" max="9" width="28.597656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  <c r="I1" t="s">
        <v>81</v>
      </c>
    </row>
    <row r="2" spans="1:9" x14ac:dyDescent="0.45">
      <c r="A2">
        <f>INDEX(ArcanaMaster[ID], ROW()-1)</f>
        <v>0</v>
      </c>
      <c r="B2">
        <f>VLOOKUP(ArcanaMaster[[#This Row],[位置]],選択用フィールド!$I$2:$J$3,2,FALSE)</f>
        <v>1</v>
      </c>
      <c r="C2" t="str">
        <f>ArcanaMaster[[#This Row],[名前]]</f>
        <v>愚者</v>
      </c>
      <c r="D2" t="str">
        <f>VLOOKUP(InputData[[#This Row],[発動条件]],選択用フィールド!$A$2:$B$6,2,FALSE)</f>
        <v>StartEffect</v>
      </c>
      <c r="E2">
        <f>InputData[[#This Row],[クールタイム]]</f>
        <v>-1</v>
      </c>
      <c r="F2" t="str">
        <f>選択用フィールド!$G$2&amp;"/"&amp;InputData[[#This Row],[エフェクト]]</f>
        <v>Effect/Arcana/</v>
      </c>
      <c r="G2">
        <f>InputData[[#This Row],[効果音]]</f>
        <v>0</v>
      </c>
      <c r="H2" t="str">
        <f>InputData[[#This Row],[説明]]</f>
        <v>HPを上げるカード</v>
      </c>
      <c r="I2" s="1" t="str">
        <f>"Arcana"&amp;TEXT(A2, "00")&amp;VLOOKUP(ArcanaData[[#This Row],[名前]],選択用フィールド!$D$2:$E$23,2,FALSE)&amp;ArcanaMaster[[#This Row],[位置]]</f>
        <v>Arcana00FoolFront</v>
      </c>
    </row>
    <row r="3" spans="1:9" x14ac:dyDescent="0.45">
      <c r="A3">
        <f>INDEX(ArcanaMaster[ID], ROW()-1)</f>
        <v>0</v>
      </c>
      <c r="B3">
        <f>VLOOKUP(ArcanaMaster[[#This Row],[位置]],選択用フィールド!$I$2:$J$3,2,FALSE)</f>
        <v>-1</v>
      </c>
      <c r="C3" t="str">
        <f>ArcanaMaster[[#This Row],[名前]]</f>
        <v>愚者</v>
      </c>
      <c r="D3" t="str">
        <f>VLOOKUP(InputData[[#This Row],[発動条件]],選択用フィールド!$A$2:$B$6,2,FALSE)</f>
        <v>StartEffect</v>
      </c>
      <c r="E3">
        <f>InputData[[#This Row],[クールタイム]]</f>
        <v>-1</v>
      </c>
      <c r="F3" t="str">
        <f>選択用フィールド!$G$2&amp;"/"&amp;InputData[[#This Row],[エフェクト]]</f>
        <v>Effect/Arcana/</v>
      </c>
      <c r="G3">
        <f>InputData[[#This Row],[効果音]]</f>
        <v>0</v>
      </c>
      <c r="H3" t="str">
        <f>InputData[[#This Row],[説明]]</f>
        <v>何も持たなくても勝てることが証明できるカード</v>
      </c>
      <c r="I3" s="1" t="str">
        <f>"Arcana"&amp;TEXT(A3, "00")&amp;VLOOKUP(ArcanaData[[#This Row],[名前]],選択用フィールド!$D$2:$E$23,2,FALSE)&amp;ArcanaMaster[[#This Row],[位置]]</f>
        <v>Arcana00FoolBack</v>
      </c>
    </row>
    <row r="4" spans="1:9" x14ac:dyDescent="0.45">
      <c r="A4">
        <f>INDEX(ArcanaMaster[ID], ROW()-1)</f>
        <v>1</v>
      </c>
      <c r="B4">
        <f>VLOOKUP(ArcanaMaster[[#This Row],[位置]],選択用フィールド!$I$2:$J$3,2,FALSE)</f>
        <v>1</v>
      </c>
      <c r="C4" t="str">
        <f>ArcanaMaster[[#This Row],[名前]]</f>
        <v>魔術師</v>
      </c>
      <c r="D4" t="str">
        <f>VLOOKUP(InputData[[#This Row],[発動条件]],選択用フィールド!$A$2:$B$6,2,FALSE)</f>
        <v>StartEffect</v>
      </c>
      <c r="E4">
        <f>InputData[[#This Row],[クールタイム]]</f>
        <v>-1</v>
      </c>
      <c r="F4" t="str">
        <f>選択用フィールド!$G$2&amp;"/"&amp;InputData[[#This Row],[エフェクト]]</f>
        <v>Effect/Arcana/</v>
      </c>
      <c r="G4">
        <f>InputData[[#This Row],[効果音]]</f>
        <v>0</v>
      </c>
      <c r="H4" t="str">
        <f>InputData[[#This Row],[説明]]</f>
        <v>防御無視を付与できるカード</v>
      </c>
      <c r="I4" s="1" t="str">
        <f>"Arcana"&amp;TEXT(A4, "00")&amp;VLOOKUP(ArcanaData[[#This Row],[名前]],選択用フィールド!$D$2:$E$23,2,FALSE)&amp;ArcanaMaster[[#This Row],[位置]]</f>
        <v>Arcana01MagicianFront</v>
      </c>
    </row>
    <row r="5" spans="1:9" x14ac:dyDescent="0.45">
      <c r="A5">
        <f>INDEX(ArcanaMaster[ID], ROW()-1)</f>
        <v>1</v>
      </c>
      <c r="B5">
        <f>VLOOKUP(ArcanaMaster[[#This Row],[位置]],選択用フィールド!$I$2:$J$3,2,FALSE)</f>
        <v>-1</v>
      </c>
      <c r="C5" t="str">
        <f>ArcanaMaster[[#This Row],[名前]]</f>
        <v>魔術師</v>
      </c>
      <c r="D5" t="str">
        <f>VLOOKUP(InputData[[#This Row],[発動条件]],選択用フィールド!$A$2:$B$6,2,FALSE)</f>
        <v>Command</v>
      </c>
      <c r="E5">
        <f>InputData[[#This Row],[クールタイム]]</f>
        <v>30</v>
      </c>
      <c r="F5" t="str">
        <f>選択用フィールド!$G$2&amp;"/"&amp;InputData[[#This Row],[エフェクト]]</f>
        <v>Effect/Arcana/Monster</v>
      </c>
      <c r="G5">
        <f>InputData[[#This Row],[効果音]]</f>
        <v>0</v>
      </c>
      <c r="H5" t="str">
        <f>InputData[[#This Row],[説明]]</f>
        <v>召喚物を出せるカード</v>
      </c>
      <c r="I5" s="1" t="str">
        <f>"Arcana"&amp;TEXT(A5, "00")&amp;VLOOKUP(ArcanaData[[#This Row],[名前]],選択用フィールド!$D$2:$E$23,2,FALSE)&amp;ArcanaMaster[[#This Row],[位置]]</f>
        <v>Arcana01MagicianBack</v>
      </c>
    </row>
    <row r="6" spans="1:9" x14ac:dyDescent="0.45">
      <c r="A6">
        <f>INDEX(ArcanaMaster[ID], ROW()-1)</f>
        <v>2</v>
      </c>
      <c r="B6">
        <f>VLOOKUP(ArcanaMaster[[#This Row],[位置]],選択用フィールド!$I$2:$J$3,2,FALSE)</f>
        <v>1</v>
      </c>
      <c r="C6" t="str">
        <f>ArcanaMaster[[#This Row],[名前]]</f>
        <v>女教皇</v>
      </c>
      <c r="D6" t="str">
        <f>VLOOKUP(InputData[[#This Row],[発動条件]],選択用フィールド!$A$2:$B$6,2,FALSE)</f>
        <v>StartEffect</v>
      </c>
      <c r="E6">
        <f>InputData[[#This Row],[クールタイム]]</f>
        <v>-1</v>
      </c>
      <c r="F6" t="str">
        <f>選択用フィールド!$G$2&amp;"/"&amp;InputData[[#This Row],[エフェクト]]</f>
        <v>Effect/Arcana/</v>
      </c>
      <c r="G6">
        <f>InputData[[#This Row],[効果音]]</f>
        <v>0</v>
      </c>
      <c r="H6" t="str">
        <f>InputData[[#This Row],[説明]]</f>
        <v>時間がたつほど強くなるカード</v>
      </c>
      <c r="I6" s="1" t="str">
        <f>"Arcana"&amp;TEXT(A6, "00")&amp;VLOOKUP(ArcanaData[[#This Row],[名前]],選択用フィールド!$D$2:$E$23,2,FALSE)&amp;ArcanaMaster[[#This Row],[位置]]</f>
        <v>Arcana02HighPriestessFront</v>
      </c>
    </row>
    <row r="7" spans="1:9" x14ac:dyDescent="0.45">
      <c r="A7">
        <f>INDEX(ArcanaMaster[ID], ROW()-1)</f>
        <v>2</v>
      </c>
      <c r="B7">
        <f>VLOOKUP(ArcanaMaster[[#This Row],[位置]],選択用フィールド!$I$2:$J$3,2,FALSE)</f>
        <v>-1</v>
      </c>
      <c r="C7" t="str">
        <f>ArcanaMaster[[#This Row],[名前]]</f>
        <v>女教皇</v>
      </c>
      <c r="D7" t="str">
        <f>VLOOKUP(InputData[[#This Row],[発動条件]],選択用フィールド!$A$2:$B$6,2,FALSE)</f>
        <v>StartEffect</v>
      </c>
      <c r="E7">
        <f>InputData[[#This Row],[クールタイム]]</f>
        <v>-1</v>
      </c>
      <c r="F7" t="str">
        <f>選択用フィールド!$G$2&amp;"/"&amp;InputData[[#This Row],[エフェクト]]</f>
        <v>Effect/Arcana/</v>
      </c>
      <c r="G7">
        <f>InputData[[#This Row],[効果音]]</f>
        <v>0</v>
      </c>
      <c r="H7" t="str">
        <f>InputData[[#This Row],[説明]]</f>
        <v>時間がたつほど弱くなるカード</v>
      </c>
      <c r="I7" s="1" t="str">
        <f>"Arcana"&amp;TEXT(A7, "00")&amp;VLOOKUP(ArcanaData[[#This Row],[名前]],選択用フィールド!$D$2:$E$23,2,FALSE)&amp;ArcanaMaster[[#This Row],[位置]]</f>
        <v>Arcana02HighPriestessBack</v>
      </c>
    </row>
    <row r="8" spans="1:9" x14ac:dyDescent="0.45">
      <c r="A8">
        <f>INDEX(ArcanaMaster[ID], ROW()-1)</f>
        <v>3</v>
      </c>
      <c r="B8">
        <f>VLOOKUP(ArcanaMaster[[#This Row],[位置]],選択用フィールド!$I$2:$J$3,2,FALSE)</f>
        <v>1</v>
      </c>
      <c r="C8" t="str">
        <f>ArcanaMaster[[#This Row],[名前]]</f>
        <v>女帝</v>
      </c>
      <c r="D8" t="str">
        <f>VLOOKUP(InputData[[#This Row],[発動条件]],選択用フィールド!$A$2:$B$6,2,FALSE)</f>
        <v>StartEffect</v>
      </c>
      <c r="E8">
        <f>InputData[[#This Row],[クールタイム]]</f>
        <v>-1</v>
      </c>
      <c r="F8" t="str">
        <f>選択用フィールド!$G$2&amp;"/"&amp;InputData[[#This Row],[エフェクト]]</f>
        <v>Effect/Arcana/</v>
      </c>
      <c r="G8">
        <f>InputData[[#This Row],[効果音]]</f>
        <v>0</v>
      </c>
      <c r="H8" t="str">
        <f>InputData[[#This Row],[説明]]</f>
        <v>自然治癒を付与するカード</v>
      </c>
      <c r="I8" s="1" t="str">
        <f>"Arcana"&amp;TEXT(A8, "00")&amp;VLOOKUP(ArcanaData[[#This Row],[名前]],選択用フィールド!$D$2:$E$23,2,FALSE)&amp;ArcanaMaster[[#This Row],[位置]]</f>
        <v>Arcana03EmpressFront</v>
      </c>
    </row>
    <row r="9" spans="1:9" x14ac:dyDescent="0.45">
      <c r="A9">
        <f>INDEX(ArcanaMaster[ID], ROW()-1)</f>
        <v>3</v>
      </c>
      <c r="B9">
        <f>VLOOKUP(ArcanaMaster[[#This Row],[位置]],選択用フィールド!$I$2:$J$3,2,FALSE)</f>
        <v>-1</v>
      </c>
      <c r="C9" t="str">
        <f>ArcanaMaster[[#This Row],[名前]]</f>
        <v>女帝</v>
      </c>
      <c r="D9" t="str">
        <f>VLOOKUP(InputData[[#This Row],[発動条件]],選択用フィールド!$A$2:$B$6,2,FALSE)</f>
        <v>StartEffect</v>
      </c>
      <c r="E9">
        <f>InputData[[#This Row],[クールタイム]]</f>
        <v>-1</v>
      </c>
      <c r="F9" t="str">
        <f>選択用フィールド!$G$2&amp;"/"&amp;InputData[[#This Row],[エフェクト]]</f>
        <v>Effect/Arcana/Dice</v>
      </c>
      <c r="G9">
        <f>InputData[[#This Row],[効果音]]</f>
        <v>0</v>
      </c>
      <c r="H9" t="str">
        <f>InputData[[#This Row],[説明]]</f>
        <v>ランダムでバフやデバフがつくカード</v>
      </c>
      <c r="I9" s="1" t="str">
        <f>"Arcana"&amp;TEXT(A9, "00")&amp;VLOOKUP(ArcanaData[[#This Row],[名前]],選択用フィールド!$D$2:$E$23,2,FALSE)&amp;ArcanaMaster[[#This Row],[位置]]</f>
        <v>Arcana03EmpressBack</v>
      </c>
    </row>
    <row r="10" spans="1:9" x14ac:dyDescent="0.45">
      <c r="A10">
        <f>INDEX(ArcanaMaster[ID], ROW()-1)</f>
        <v>4</v>
      </c>
      <c r="B10">
        <f>VLOOKUP(ArcanaMaster[[#This Row],[位置]],選択用フィールド!$I$2:$J$3,2,FALSE)</f>
        <v>1</v>
      </c>
      <c r="C10" t="str">
        <f>ArcanaMaster[[#This Row],[名前]]</f>
        <v>皇帝</v>
      </c>
      <c r="D10" t="str">
        <f>VLOOKUP(InputData[[#This Row],[発動条件]],選択用フィールド!$A$2:$B$6,2,FALSE)</f>
        <v>Command</v>
      </c>
      <c r="E10">
        <f>InputData[[#This Row],[クールタイム]]</f>
        <v>60</v>
      </c>
      <c r="F10" t="str">
        <f>選択用フィールド!$G$2&amp;"/"&amp;InputData[[#This Row],[エフェクト]]</f>
        <v>Effect/Arcana/</v>
      </c>
      <c r="G10">
        <f>InputData[[#This Row],[効果音]]</f>
        <v>0</v>
      </c>
      <c r="H10" t="str">
        <f>InputData[[#This Row],[説明]]</f>
        <v>スキル禁止を付与するカード</v>
      </c>
      <c r="I10" s="1" t="str">
        <f>"Arcana"&amp;TEXT(A10, "00")&amp;VLOOKUP(ArcanaData[[#This Row],[名前]],選択用フィールド!$D$2:$E$23,2,FALSE)&amp;ArcanaMaster[[#This Row],[位置]]</f>
        <v>Arcana04EmperorFront</v>
      </c>
    </row>
    <row r="11" spans="1:9" x14ac:dyDescent="0.45">
      <c r="A11">
        <f>INDEX(ArcanaMaster[ID], ROW()-1)</f>
        <v>4</v>
      </c>
      <c r="B11">
        <f>VLOOKUP(ArcanaMaster[[#This Row],[位置]],選択用フィールド!$I$2:$J$3,2,FALSE)</f>
        <v>-1</v>
      </c>
      <c r="C11" t="str">
        <f>ArcanaMaster[[#This Row],[名前]]</f>
        <v>皇帝</v>
      </c>
      <c r="D11" t="str">
        <f>VLOOKUP(InputData[[#This Row],[発動条件]],選択用フィールド!$A$2:$B$6,2,FALSE)</f>
        <v>StartEffect</v>
      </c>
      <c r="E11">
        <f>InputData[[#This Row],[クールタイム]]</f>
        <v>-1</v>
      </c>
      <c r="F11" t="str">
        <f>選択用フィールド!$G$2&amp;"/"&amp;InputData[[#This Row],[エフェクト]]</f>
        <v>Effect/Arcana/</v>
      </c>
      <c r="G11">
        <f>InputData[[#This Row],[効果音]]</f>
        <v>0</v>
      </c>
      <c r="H11" t="str">
        <f>InputData[[#This Row],[説明]]</f>
        <v>通常攻撃は振れないがダメージが上がるカード</v>
      </c>
      <c r="I11" s="1" t="str">
        <f>"Arcana"&amp;TEXT(A11, "00")&amp;VLOOKUP(ArcanaData[[#This Row],[名前]],選択用フィールド!$D$2:$E$23,2,FALSE)&amp;ArcanaMaster[[#This Row],[位置]]</f>
        <v>Arcana04EmperorBack</v>
      </c>
    </row>
    <row r="12" spans="1:9" x14ac:dyDescent="0.45">
      <c r="A12">
        <f>INDEX(ArcanaMaster[ID], ROW()-1)</f>
        <v>5</v>
      </c>
      <c r="B12">
        <f>VLOOKUP(ArcanaMaster[[#This Row],[位置]],選択用フィールド!$I$2:$J$3,2,FALSE)</f>
        <v>1</v>
      </c>
      <c r="C12" t="str">
        <f>ArcanaMaster[[#This Row],[名前]]</f>
        <v>教皇</v>
      </c>
      <c r="D12" t="str">
        <f>VLOOKUP(InputData[[#This Row],[発動条件]],選択用フィールド!$A$2:$B$6,2,FALSE)</f>
        <v>StartEffect</v>
      </c>
      <c r="E12">
        <f>InputData[[#This Row],[クールタイム]]</f>
        <v>-1</v>
      </c>
      <c r="F12" t="str">
        <f>選択用フィールド!$G$2&amp;"/"&amp;InputData[[#This Row],[エフェクト]]</f>
        <v>Effect/Arcana/</v>
      </c>
      <c r="G12">
        <f>InputData[[#This Row],[効果音]]</f>
        <v>0</v>
      </c>
      <c r="H12" t="str">
        <f>InputData[[#This Row],[説明]]</f>
        <v>スキルの当たり判定が大きくなるカード</v>
      </c>
      <c r="I12" s="1" t="str">
        <f>"Arcana"&amp;TEXT(A12, "00")&amp;VLOOKUP(ArcanaData[[#This Row],[名前]],選択用フィールド!$D$2:$E$23,2,FALSE)&amp;ArcanaMaster[[#This Row],[位置]]</f>
        <v>Arcana05HierophantFront</v>
      </c>
    </row>
    <row r="13" spans="1:9" x14ac:dyDescent="0.45">
      <c r="A13">
        <f>INDEX(ArcanaMaster[ID], ROW()-1)</f>
        <v>5</v>
      </c>
      <c r="B13">
        <f>VLOOKUP(ArcanaMaster[[#This Row],[位置]],選択用フィールド!$I$2:$J$3,2,FALSE)</f>
        <v>-1</v>
      </c>
      <c r="C13" t="str">
        <f>ArcanaMaster[[#This Row],[名前]]</f>
        <v>教皇</v>
      </c>
      <c r="D13" t="str">
        <f>VLOOKUP(InputData[[#This Row],[発動条件]],選択用フィールド!$A$2:$B$6,2,FALSE)</f>
        <v>Command</v>
      </c>
      <c r="E13">
        <f>InputData[[#This Row],[クールタイム]]</f>
        <v>30</v>
      </c>
      <c r="F13" t="str">
        <f>選択用フィールド!$G$2&amp;"/"&amp;InputData[[#This Row],[エフェクト]]</f>
        <v>Effect/Arcana/</v>
      </c>
      <c r="G13">
        <f>InputData[[#This Row],[効果音]]</f>
        <v>0</v>
      </c>
      <c r="H13" t="str">
        <f>InputData[[#This Row],[説明]]</f>
        <v>敵の行動を逆にするカード</v>
      </c>
      <c r="I13" s="1" t="str">
        <f>"Arcana"&amp;TEXT(A13, "00")&amp;VLOOKUP(ArcanaData[[#This Row],[名前]],選択用フィールド!$D$2:$E$23,2,FALSE)&amp;ArcanaMaster[[#This Row],[位置]]</f>
        <v>Arcana05HierophantBack</v>
      </c>
    </row>
    <row r="14" spans="1:9" x14ac:dyDescent="0.45">
      <c r="A14">
        <f>INDEX(ArcanaMaster[ID], ROW()-1)</f>
        <v>6</v>
      </c>
      <c r="B14">
        <f>VLOOKUP(ArcanaMaster[[#This Row],[位置]],選択用フィールド!$I$2:$J$3,2,FALSE)</f>
        <v>1</v>
      </c>
      <c r="C14" t="str">
        <f>ArcanaMaster[[#This Row],[名前]]</f>
        <v>恋人</v>
      </c>
      <c r="D14" t="str">
        <f>VLOOKUP(InputData[[#This Row],[発動条件]],選択用フィールド!$A$2:$B$6,2,FALSE)</f>
        <v>Command</v>
      </c>
      <c r="E14">
        <f>InputData[[#This Row],[クールタイム]]</f>
        <v>30</v>
      </c>
      <c r="F14" t="str">
        <f>選択用フィールド!$G$2&amp;"/"&amp;InputData[[#This Row],[エフェクト]]</f>
        <v>Effect/Arcana/</v>
      </c>
      <c r="G14">
        <f>InputData[[#This Row],[効果音]]</f>
        <v>0</v>
      </c>
      <c r="H14" t="str">
        <f>InputData[[#This Row],[説明]]</f>
        <v>敵がダメージを肩代わりしてくれるカード</v>
      </c>
      <c r="I14" s="1" t="str">
        <f>"Arcana"&amp;TEXT(A14, "00")&amp;VLOOKUP(ArcanaData[[#This Row],[名前]],選択用フィールド!$D$2:$E$23,2,FALSE)&amp;ArcanaMaster[[#This Row],[位置]]</f>
        <v>Arcana06LoversFront</v>
      </c>
    </row>
    <row r="15" spans="1:9" x14ac:dyDescent="0.45">
      <c r="A15">
        <f>INDEX(ArcanaMaster[ID], ROW()-1)</f>
        <v>6</v>
      </c>
      <c r="B15">
        <f>VLOOKUP(ArcanaMaster[[#This Row],[位置]],選択用フィールド!$I$2:$J$3,2,FALSE)</f>
        <v>-1</v>
      </c>
      <c r="C15" t="str">
        <f>ArcanaMaster[[#This Row],[名前]]</f>
        <v>恋人</v>
      </c>
      <c r="D15" t="str">
        <f>VLOOKUP(InputData[[#This Row],[発動条件]],選択用フィールド!$A$2:$B$6,2,FALSE)</f>
        <v>Command</v>
      </c>
      <c r="E15">
        <f>InputData[[#This Row],[クールタイム]]</f>
        <v>40</v>
      </c>
      <c r="F15" t="str">
        <f>選択用フィールド!$G$2&amp;"/"&amp;InputData[[#This Row],[エフェクト]]</f>
        <v>Effect/Arcana/</v>
      </c>
      <c r="G15">
        <f>InputData[[#This Row],[効果音]]</f>
        <v>0</v>
      </c>
      <c r="H15" t="str">
        <f>InputData[[#This Row],[説明]]</f>
        <v>自分以外の視界を暗くするカード</v>
      </c>
      <c r="I15" s="1" t="str">
        <f>"Arcana"&amp;TEXT(A15, "00")&amp;VLOOKUP(ArcanaData[[#This Row],[名前]],選択用フィールド!$D$2:$E$23,2,FALSE)&amp;ArcanaMaster[[#This Row],[位置]]</f>
        <v>Arcana06LoversBack</v>
      </c>
    </row>
    <row r="16" spans="1:9" x14ac:dyDescent="0.45">
      <c r="A16">
        <f>INDEX(ArcanaMaster[ID], ROW()-1)</f>
        <v>7</v>
      </c>
      <c r="B16">
        <f>VLOOKUP(ArcanaMaster[[#This Row],[位置]],選択用フィールド!$I$2:$J$3,2,FALSE)</f>
        <v>1</v>
      </c>
      <c r="C16" t="str">
        <f>ArcanaMaster[[#This Row],[名前]]</f>
        <v>戦車</v>
      </c>
      <c r="D16" t="str">
        <f>VLOOKUP(InputData[[#This Row],[発動条件]],選択用フィールド!$A$2:$B$6,2,FALSE)</f>
        <v>StartEffect</v>
      </c>
      <c r="E16">
        <f>InputData[[#This Row],[クールタイム]]</f>
        <v>-1</v>
      </c>
      <c r="F16" t="str">
        <f>選択用フィールド!$G$2&amp;"/"&amp;InputData[[#This Row],[エフェクト]]</f>
        <v>Effect/Arcana/</v>
      </c>
      <c r="G16">
        <f>InputData[[#This Row],[効果音]]</f>
        <v>0</v>
      </c>
      <c r="H16" t="str">
        <f>InputData[[#This Row],[説明]]</f>
        <v>移動速度が速くなるカード</v>
      </c>
      <c r="I16" s="1" t="str">
        <f>"Arcana"&amp;TEXT(A16, "00")&amp;VLOOKUP(ArcanaData[[#This Row],[名前]],選択用フィールド!$D$2:$E$23,2,FALSE)&amp;ArcanaMaster[[#This Row],[位置]]</f>
        <v>Arcana07ChariotFront</v>
      </c>
    </row>
    <row r="17" spans="1:9" x14ac:dyDescent="0.45">
      <c r="A17">
        <f>INDEX(ArcanaMaster[ID], ROW()-1)</f>
        <v>7</v>
      </c>
      <c r="B17">
        <f>VLOOKUP(ArcanaMaster[[#This Row],[位置]],選択用フィールド!$I$2:$J$3,2,FALSE)</f>
        <v>-1</v>
      </c>
      <c r="C17" t="str">
        <f>ArcanaMaster[[#This Row],[名前]]</f>
        <v>戦車</v>
      </c>
      <c r="D17" t="str">
        <f>VLOOKUP(InputData[[#This Row],[発動条件]],選択用フィールド!$A$2:$B$6,2,FALSE)</f>
        <v>StartEffect</v>
      </c>
      <c r="E17">
        <f>InputData[[#This Row],[クールタイム]]</f>
        <v>-1</v>
      </c>
      <c r="F17" t="str">
        <f>選択用フィールド!$G$2&amp;"/"&amp;InputData[[#This Row],[エフェクト]]</f>
        <v>Effect/Arcana/</v>
      </c>
      <c r="G17">
        <f>InputData[[#This Row],[効果音]]</f>
        <v>0</v>
      </c>
      <c r="H17" t="str">
        <f>InputData[[#This Row],[説明]]</f>
        <v>スキル発動の予備動作の時間が半分になるカード</v>
      </c>
      <c r="I17" s="1" t="str">
        <f>"Arcana"&amp;TEXT(A17, "00")&amp;VLOOKUP(ArcanaData[[#This Row],[名前]],選択用フィールド!$D$2:$E$23,2,FALSE)&amp;ArcanaMaster[[#This Row],[位置]]</f>
        <v>Arcana07ChariotBack</v>
      </c>
    </row>
    <row r="18" spans="1:9" x14ac:dyDescent="0.45">
      <c r="A18">
        <f>INDEX(ArcanaMaster[ID], ROW()-1)</f>
        <v>8</v>
      </c>
      <c r="B18">
        <f>VLOOKUP(ArcanaMaster[[#This Row],[位置]],選択用フィールド!$I$2:$J$3,2,FALSE)</f>
        <v>1</v>
      </c>
      <c r="C18" t="str">
        <f>ArcanaMaster[[#This Row],[名前]]</f>
        <v>力</v>
      </c>
      <c r="D18" t="str">
        <f>VLOOKUP(InputData[[#This Row],[発動条件]],選択用フィールド!$A$2:$B$6,2,FALSE)</f>
        <v>StartEffect</v>
      </c>
      <c r="E18">
        <f>InputData[[#This Row],[クールタイム]]</f>
        <v>-1</v>
      </c>
      <c r="F18" t="str">
        <f>選択用フィールド!$G$2&amp;"/"&amp;InputData[[#This Row],[エフェクト]]</f>
        <v>Effect/Arcana/</v>
      </c>
      <c r="G18">
        <f>InputData[[#This Row],[効果音]]</f>
        <v>0</v>
      </c>
      <c r="H18" t="str">
        <f>InputData[[#This Row],[説明]]</f>
        <v>攻撃力を上げるカード</v>
      </c>
      <c r="I18" s="1" t="str">
        <f>"Arcana"&amp;TEXT(A18, "00")&amp;VLOOKUP(ArcanaData[[#This Row],[名前]],選択用フィールド!$D$2:$E$23,2,FALSE)&amp;ArcanaMaster[[#This Row],[位置]]</f>
        <v>Arcana08StrengthFront</v>
      </c>
    </row>
    <row r="19" spans="1:9" x14ac:dyDescent="0.45">
      <c r="A19">
        <f>INDEX(ArcanaMaster[ID], ROW()-1)</f>
        <v>8</v>
      </c>
      <c r="B19">
        <f>VLOOKUP(ArcanaMaster[[#This Row],[位置]],選択用フィールド!$I$2:$J$3,2,FALSE)</f>
        <v>-1</v>
      </c>
      <c r="C19" t="str">
        <f>ArcanaMaster[[#This Row],[名前]]</f>
        <v>力</v>
      </c>
      <c r="D19" t="str">
        <f>VLOOKUP(InputData[[#This Row],[発動条件]],選択用フィールド!$A$2:$B$6,2,FALSE)</f>
        <v>DamageEffect</v>
      </c>
      <c r="E19">
        <f>InputData[[#This Row],[クールタイム]]</f>
        <v>-1</v>
      </c>
      <c r="F19" t="str">
        <f>選択用フィールド!$G$2&amp;"/"&amp;InputData[[#This Row],[エフェクト]]</f>
        <v>Effect/Arcana/</v>
      </c>
      <c r="G19">
        <f>InputData[[#This Row],[効果音]]</f>
        <v>0</v>
      </c>
      <c r="H19" t="str">
        <f>InputData[[#This Row],[説明]]</f>
        <v>HPが減るたび他のステータスが上がるカード</v>
      </c>
      <c r="I19" s="1" t="str">
        <f>"Arcana"&amp;TEXT(A19, "00")&amp;VLOOKUP(ArcanaData[[#This Row],[名前]],選択用フィールド!$D$2:$E$23,2,FALSE)&amp;ArcanaMaster[[#This Row],[位置]]</f>
        <v>Arcana08StrengthBack</v>
      </c>
    </row>
    <row r="20" spans="1:9" x14ac:dyDescent="0.45">
      <c r="A20">
        <f>INDEX(ArcanaMaster[ID], ROW()-1)</f>
        <v>9</v>
      </c>
      <c r="B20">
        <f>VLOOKUP(ArcanaMaster[[#This Row],[位置]],選択用フィールド!$I$2:$J$3,2,FALSE)</f>
        <v>1</v>
      </c>
      <c r="C20" t="str">
        <f>ArcanaMaster[[#This Row],[名前]]</f>
        <v>隠者</v>
      </c>
      <c r="D20" t="str">
        <f>VLOOKUP(InputData[[#This Row],[発動条件]],選択用フィールド!$A$2:$B$6,2,FALSE)</f>
        <v>StartEffect</v>
      </c>
      <c r="E20">
        <f>InputData[[#This Row],[クールタイム]]</f>
        <v>-1</v>
      </c>
      <c r="F20" t="str">
        <f>選択用フィールド!$G$2&amp;"/"&amp;InputData[[#This Row],[エフェクト]]</f>
        <v>Effect/Arcana/</v>
      </c>
      <c r="G20">
        <f>InputData[[#This Row],[効果音]]</f>
        <v>0</v>
      </c>
      <c r="H20" t="str">
        <f>InputData[[#This Row],[説明]]</f>
        <v>人が回復したHPを半分奪うカード</v>
      </c>
      <c r="I20" s="1" t="str">
        <f>"Arcana"&amp;TEXT(A20, "00")&amp;VLOOKUP(ArcanaData[[#This Row],[名前]],選択用フィールド!$D$2:$E$23,2,FALSE)&amp;ArcanaMaster[[#This Row],[位置]]</f>
        <v>Arcana09HermitFront</v>
      </c>
    </row>
    <row r="21" spans="1:9" x14ac:dyDescent="0.45">
      <c r="A21">
        <f>INDEX(ArcanaMaster[ID], ROW()-1)</f>
        <v>9</v>
      </c>
      <c r="B21">
        <f>VLOOKUP(ArcanaMaster[[#This Row],[位置]],選択用フィールド!$I$2:$J$3,2,FALSE)</f>
        <v>-1</v>
      </c>
      <c r="C21" t="str">
        <f>ArcanaMaster[[#This Row],[名前]]</f>
        <v>隠者</v>
      </c>
      <c r="D21" t="str">
        <f>VLOOKUP(InputData[[#This Row],[発動条件]],選択用フィールド!$A$2:$B$6,2,FALSE)</f>
        <v>StartEffect</v>
      </c>
      <c r="E21">
        <f>InputData[[#This Row],[クールタイム]]</f>
        <v>-1</v>
      </c>
      <c r="F21" t="str">
        <f>選択用フィールド!$G$2&amp;"/"&amp;InputData[[#This Row],[エフェクト]]</f>
        <v>Effect/Arcana/Trap</v>
      </c>
      <c r="G21">
        <f>InputData[[#This Row],[効果音]]</f>
        <v>0</v>
      </c>
      <c r="H21" t="str">
        <f>InputData[[#This Row],[説明]]</f>
        <v>トラップを設置するカード</v>
      </c>
      <c r="I21" s="1" t="str">
        <f>"Arcana"&amp;TEXT(A21, "00")&amp;VLOOKUP(ArcanaData[[#This Row],[名前]],選択用フィールド!$D$2:$E$23,2,FALSE)&amp;ArcanaMaster[[#This Row],[位置]]</f>
        <v>Arcana09HermitBack</v>
      </c>
    </row>
    <row r="22" spans="1:9" x14ac:dyDescent="0.45">
      <c r="A22">
        <f>INDEX(ArcanaMaster[ID], ROW()-1)</f>
        <v>10</v>
      </c>
      <c r="B22">
        <f>VLOOKUP(ArcanaMaster[[#This Row],[位置]],選択用フィールド!$I$2:$J$3,2,FALSE)</f>
        <v>1</v>
      </c>
      <c r="C22" t="str">
        <f>ArcanaMaster[[#This Row],[名前]]</f>
        <v>運命の輪</v>
      </c>
      <c r="D22" t="str">
        <f>VLOOKUP(InputData[[#This Row],[発動条件]],選択用フィールド!$A$2:$B$6,2,FALSE)</f>
        <v>Command</v>
      </c>
      <c r="E22">
        <f>InputData[[#This Row],[クールタイム]]</f>
        <v>15</v>
      </c>
      <c r="F22" t="str">
        <f>選択用フィールド!$G$2&amp;"/"&amp;InputData[[#This Row],[エフェクト]]</f>
        <v>Effect/Arcana/</v>
      </c>
      <c r="G22">
        <f>InputData[[#This Row],[効果音]]</f>
        <v>0</v>
      </c>
      <c r="H22" t="str">
        <f>InputData[[#This Row],[説明]]</f>
        <v>ランダムな場所にテレポートするカード</v>
      </c>
      <c r="I22" s="1" t="str">
        <f>"Arcana"&amp;TEXT(A22, "00")&amp;VLOOKUP(ArcanaData[[#This Row],[名前]],選択用フィールド!$D$2:$E$23,2,FALSE)&amp;ArcanaMaster[[#This Row],[位置]]</f>
        <v>Arcana10WheelOfFortuneFront</v>
      </c>
    </row>
    <row r="23" spans="1:9" x14ac:dyDescent="0.45">
      <c r="A23">
        <f>INDEX(ArcanaMaster[ID], ROW()-1)</f>
        <v>10</v>
      </c>
      <c r="B23">
        <f>VLOOKUP(ArcanaMaster[[#This Row],[位置]],選択用フィールド!$I$2:$J$3,2,FALSE)</f>
        <v>-1</v>
      </c>
      <c r="C23" t="str">
        <f>ArcanaMaster[[#This Row],[名前]]</f>
        <v>運命の輪</v>
      </c>
      <c r="D23" t="str">
        <f>VLOOKUP(InputData[[#This Row],[発動条件]],選択用フィールド!$A$2:$B$6,2,FALSE)</f>
        <v>Command</v>
      </c>
      <c r="E23">
        <f>InputData[[#This Row],[クールタイム]]</f>
        <v>30</v>
      </c>
      <c r="F23" t="str">
        <f>選択用フィールド!$G$2&amp;"/"&amp;InputData[[#This Row],[エフェクト]]</f>
        <v>Effect/Arcana/</v>
      </c>
      <c r="G23">
        <f>InputData[[#This Row],[効果音]]</f>
        <v>0</v>
      </c>
      <c r="H23" t="str">
        <f>InputData[[#This Row],[説明]]</f>
        <v>敵をジャンプ禁止にするカード</v>
      </c>
      <c r="I23" s="1" t="str">
        <f>"Arcana"&amp;TEXT(A23, "00")&amp;VLOOKUP(ArcanaData[[#This Row],[名前]],選択用フィールド!$D$2:$E$23,2,FALSE)&amp;ArcanaMaster[[#This Row],[位置]]</f>
        <v>Arcana10WheelOfFortuneBack</v>
      </c>
    </row>
    <row r="24" spans="1:9" x14ac:dyDescent="0.45">
      <c r="A24">
        <f>INDEX(ArcanaMaster[ID], ROW()-1)</f>
        <v>11</v>
      </c>
      <c r="B24">
        <f>VLOOKUP(ArcanaMaster[[#This Row],[位置]],選択用フィールド!$I$2:$J$3,2,FALSE)</f>
        <v>1</v>
      </c>
      <c r="C24" t="str">
        <f>ArcanaMaster[[#This Row],[名前]]</f>
        <v>正義</v>
      </c>
      <c r="D24" t="str">
        <f>VLOOKUP(InputData[[#This Row],[発動条件]],選択用フィールド!$A$2:$B$6,2,FALSE)</f>
        <v>Command</v>
      </c>
      <c r="E24">
        <f>InputData[[#This Row],[クールタイム]]</f>
        <v>60</v>
      </c>
      <c r="F24" t="str">
        <f>選択用フィールド!$G$2&amp;"/"&amp;InputData[[#This Row],[エフェクト]]</f>
        <v>Effect/Arcana/</v>
      </c>
      <c r="G24">
        <f>InputData[[#This Row],[効果音]]</f>
        <v>0</v>
      </c>
      <c r="H24" t="str">
        <f>InputData[[#This Row],[説明]]</f>
        <v>敵に一定のダメージを与えるカード</v>
      </c>
      <c r="I24" s="1" t="str">
        <f>"Arcana"&amp;TEXT(A24, "00")&amp;VLOOKUP(ArcanaData[[#This Row],[名前]],選択用フィールド!$D$2:$E$23,2,FALSE)&amp;ArcanaMaster[[#This Row],[位置]]</f>
        <v>Arcana11JusticeFront</v>
      </c>
    </row>
    <row r="25" spans="1:9" x14ac:dyDescent="0.45">
      <c r="A25">
        <f>INDEX(ArcanaMaster[ID], ROW()-1)</f>
        <v>11</v>
      </c>
      <c r="B25">
        <f>VLOOKUP(ArcanaMaster[[#This Row],[位置]],選択用フィールド!$I$2:$J$3,2,FALSE)</f>
        <v>-1</v>
      </c>
      <c r="C25" t="str">
        <f>ArcanaMaster[[#This Row],[名前]]</f>
        <v>正義</v>
      </c>
      <c r="D25" t="str">
        <f>VLOOKUP(InputData[[#This Row],[発動条件]],選択用フィールド!$A$2:$B$6,2,FALSE)</f>
        <v>Command</v>
      </c>
      <c r="E25">
        <f>InputData[[#This Row],[クールタイム]]</f>
        <v>30</v>
      </c>
      <c r="F25" t="str">
        <f>選択用フィールド!$G$2&amp;"/"&amp;InputData[[#This Row],[エフェクト]]</f>
        <v>Effect/Arcana/</v>
      </c>
      <c r="G25">
        <f>InputData[[#This Row],[効果音]]</f>
        <v>0</v>
      </c>
      <c r="H25" t="str">
        <f>InputData[[#This Row],[説明]]</f>
        <v>カウンターを付与するカード</v>
      </c>
      <c r="I25" s="1" t="str">
        <f>"Arcana"&amp;TEXT(A25, "00")&amp;VLOOKUP(ArcanaData[[#This Row],[名前]],選択用フィールド!$D$2:$E$23,2,FALSE)&amp;ArcanaMaster[[#This Row],[位置]]</f>
        <v>Arcana11JusticeBack</v>
      </c>
    </row>
    <row r="26" spans="1:9" x14ac:dyDescent="0.45">
      <c r="A26">
        <f>INDEX(ArcanaMaster[ID], ROW()-1)</f>
        <v>12</v>
      </c>
      <c r="B26">
        <f>VLOOKUP(ArcanaMaster[[#This Row],[位置]],選択用フィールド!$I$2:$J$3,2,FALSE)</f>
        <v>1</v>
      </c>
      <c r="C26" t="str">
        <f>ArcanaMaster[[#This Row],[名前]]</f>
        <v>つるされた男</v>
      </c>
      <c r="D26" t="str">
        <f>VLOOKUP(InputData[[#This Row],[発動条件]],選択用フィールド!$A$2:$B$6,2,FALSE)</f>
        <v>Command</v>
      </c>
      <c r="E26">
        <f>InputData[[#This Row],[クールタイム]]</f>
        <v>30</v>
      </c>
      <c r="F26" t="str">
        <f>選択用フィールド!$G$2&amp;"/"&amp;InputData[[#This Row],[エフェクト]]</f>
        <v>Effect/Arcana/</v>
      </c>
      <c r="G26">
        <f>InputData[[#This Row],[効果音]]</f>
        <v>0</v>
      </c>
      <c r="H26" t="str">
        <f>InputData[[#This Row],[説明]]</f>
        <v>視点が反対になるカード</v>
      </c>
      <c r="I26" s="1" t="str">
        <f>"Arcana"&amp;TEXT(A26, "00")&amp;VLOOKUP(ArcanaData[[#This Row],[名前]],選択用フィールド!$D$2:$E$23,2,FALSE)&amp;ArcanaMaster[[#This Row],[位置]]</f>
        <v>Arcana12HangedManFront</v>
      </c>
    </row>
    <row r="27" spans="1:9" x14ac:dyDescent="0.45">
      <c r="A27">
        <f>INDEX(ArcanaMaster[ID], ROW()-1)</f>
        <v>12</v>
      </c>
      <c r="B27">
        <f>VLOOKUP(ArcanaMaster[[#This Row],[位置]],選択用フィールド!$I$2:$J$3,2,FALSE)</f>
        <v>-1</v>
      </c>
      <c r="C27" t="str">
        <f>ArcanaMaster[[#This Row],[名前]]</f>
        <v>つるされた男</v>
      </c>
      <c r="D27" t="str">
        <f>VLOOKUP(InputData[[#This Row],[発動条件]],選択用フィールド!$A$2:$B$6,2,FALSE)</f>
        <v>StartEffect</v>
      </c>
      <c r="E27">
        <f>InputData[[#This Row],[クールタイム]]</f>
        <v>-1</v>
      </c>
      <c r="F27" t="str">
        <f>選択用フィールド!$G$2&amp;"/"&amp;InputData[[#This Row],[エフェクト]]</f>
        <v>Effect/Arcana/</v>
      </c>
      <c r="G27">
        <f>InputData[[#This Row],[効果音]]</f>
        <v>0</v>
      </c>
      <c r="H27" t="str">
        <f>InputData[[#This Row],[説明]]</f>
        <v>運気が上がるカード</v>
      </c>
      <c r="I27" s="1" t="str">
        <f>"Arcana"&amp;TEXT(A27, "00")&amp;VLOOKUP(ArcanaData[[#This Row],[名前]],選択用フィールド!$D$2:$E$23,2,FALSE)&amp;ArcanaMaster[[#This Row],[位置]]</f>
        <v>Arcana12HangedManBack</v>
      </c>
    </row>
    <row r="28" spans="1:9" x14ac:dyDescent="0.45">
      <c r="A28">
        <f>INDEX(ArcanaMaster[ID], ROW()-1)</f>
        <v>13</v>
      </c>
      <c r="B28">
        <f>VLOOKUP(ArcanaMaster[[#This Row],[位置]],選択用フィールド!$I$2:$J$3,2,FALSE)</f>
        <v>1</v>
      </c>
      <c r="C28" t="str">
        <f>ArcanaMaster[[#This Row],[名前]]</f>
        <v>死神</v>
      </c>
      <c r="D28" t="str">
        <f>VLOOKUP(InputData[[#This Row],[発動条件]],選択用フィールド!$A$2:$B$6,2,FALSE)</f>
        <v>StartEffect</v>
      </c>
      <c r="E28">
        <f>InputData[[#This Row],[クールタイム]]</f>
        <v>-1</v>
      </c>
      <c r="F28" t="str">
        <f>選択用フィールド!$G$2&amp;"/"&amp;InputData[[#This Row],[エフェクト]]</f>
        <v>Effect/Arcana/</v>
      </c>
      <c r="G28">
        <f>InputData[[#This Row],[効果音]]</f>
        <v>0</v>
      </c>
      <c r="H28" t="str">
        <f>InputData[[#This Row],[説明]]</f>
        <v>#</v>
      </c>
      <c r="I28" s="1" t="str">
        <f>"Arcana"&amp;TEXT(A28, "00")&amp;VLOOKUP(ArcanaData[[#This Row],[名前]],選択用フィールド!$D$2:$E$23,2,FALSE)&amp;ArcanaMaster[[#This Row],[位置]]</f>
        <v>Arcana13DeathFront</v>
      </c>
    </row>
    <row r="29" spans="1:9" x14ac:dyDescent="0.45">
      <c r="A29">
        <f>INDEX(ArcanaMaster[ID], ROW()-1)</f>
        <v>13</v>
      </c>
      <c r="B29">
        <f>VLOOKUP(ArcanaMaster[[#This Row],[位置]],選択用フィールド!$I$2:$J$3,2,FALSE)</f>
        <v>-1</v>
      </c>
      <c r="C29" t="str">
        <f>ArcanaMaster[[#This Row],[名前]]</f>
        <v>死神</v>
      </c>
      <c r="D29" t="str">
        <f>VLOOKUP(InputData[[#This Row],[発動条件]],選択用フィールド!$A$2:$B$6,2,FALSE)</f>
        <v>DamageEffect</v>
      </c>
      <c r="E29">
        <f>InputData[[#This Row],[クールタイム]]</f>
        <v>-1</v>
      </c>
      <c r="F29" t="str">
        <f>選択用フィールド!$G$2&amp;"/"&amp;InputData[[#This Row],[エフェクト]]</f>
        <v>Effect/Arcana/</v>
      </c>
      <c r="G29">
        <f>InputData[[#This Row],[効果音]]</f>
        <v>0</v>
      </c>
      <c r="H29" t="str">
        <f>InputData[[#This Row],[説明]]</f>
        <v>相手にダメージを与えたときに回復するカード</v>
      </c>
      <c r="I29" s="1" t="str">
        <f>"Arcana"&amp;TEXT(A29, "00")&amp;VLOOKUP(ArcanaData[[#This Row],[名前]],選択用フィールド!$D$2:$E$23,2,FALSE)&amp;ArcanaMaster[[#This Row],[位置]]</f>
        <v>Arcana13DeathBack</v>
      </c>
    </row>
    <row r="30" spans="1:9" x14ac:dyDescent="0.45">
      <c r="A30">
        <f>INDEX(ArcanaMaster[ID], ROW()-1)</f>
        <v>14</v>
      </c>
      <c r="B30">
        <f>VLOOKUP(ArcanaMaster[[#This Row],[位置]],選択用フィールド!$I$2:$J$3,2,FALSE)</f>
        <v>1</v>
      </c>
      <c r="C30" t="str">
        <f>ArcanaMaster[[#This Row],[名前]]</f>
        <v>節制</v>
      </c>
      <c r="D30" t="str">
        <f>VLOOKUP(InputData[[#This Row],[発動条件]],選択用フィールド!$A$2:$B$6,2,FALSE)</f>
        <v>StartEffect</v>
      </c>
      <c r="E30">
        <f>InputData[[#This Row],[クールタイム]]</f>
        <v>-1</v>
      </c>
      <c r="F30" t="str">
        <f>選択用フィールド!$G$2&amp;"/"&amp;InputData[[#This Row],[エフェクト]]</f>
        <v>Effect/Arcana/</v>
      </c>
      <c r="G30">
        <f>InputData[[#This Row],[効果音]]</f>
        <v>0</v>
      </c>
      <c r="H30" t="str">
        <f>InputData[[#This Row],[説明]]</f>
        <v>自分のスキルのクールタイムを早くするカード</v>
      </c>
      <c r="I30" s="1" t="str">
        <f>"Arcana"&amp;TEXT(A30, "00")&amp;VLOOKUP(ArcanaData[[#This Row],[名前]],選択用フィールド!$D$2:$E$23,2,FALSE)&amp;ArcanaMaster[[#This Row],[位置]]</f>
        <v>Arcana14TemperanceFront</v>
      </c>
    </row>
    <row r="31" spans="1:9" x14ac:dyDescent="0.45">
      <c r="A31">
        <f>INDEX(ArcanaMaster[ID], ROW()-1)</f>
        <v>14</v>
      </c>
      <c r="B31">
        <f>VLOOKUP(ArcanaMaster[[#This Row],[位置]],選択用フィールド!$I$2:$J$3,2,FALSE)</f>
        <v>-1</v>
      </c>
      <c r="C31" t="str">
        <f>ArcanaMaster[[#This Row],[名前]]</f>
        <v>節制</v>
      </c>
      <c r="D31" t="str">
        <f>VLOOKUP(InputData[[#This Row],[発動条件]],選択用フィールド!$A$2:$B$6,2,FALSE)</f>
        <v>StartEffect</v>
      </c>
      <c r="E31">
        <f>InputData[[#This Row],[クールタイム]]</f>
        <v>-1</v>
      </c>
      <c r="F31" t="str">
        <f>選択用フィールド!$G$2&amp;"/"&amp;InputData[[#This Row],[エフェクト]]</f>
        <v>Effect/Arcana/</v>
      </c>
      <c r="G31">
        <f>InputData[[#This Row],[効果音]]</f>
        <v>0</v>
      </c>
      <c r="H31" t="str">
        <f>InputData[[#This Row],[説明]]</f>
        <v>敵のクールタイムを遅くするカード</v>
      </c>
      <c r="I31" s="1" t="str">
        <f>"Arcana"&amp;TEXT(A31, "00")&amp;VLOOKUP(ArcanaData[[#This Row],[名前]],選択用フィールド!$D$2:$E$23,2,FALSE)&amp;ArcanaMaster[[#This Row],[位置]]</f>
        <v>Arcana14TemperanceBack</v>
      </c>
    </row>
    <row r="32" spans="1:9" x14ac:dyDescent="0.45">
      <c r="A32">
        <f>INDEX(ArcanaMaster[ID], ROW()-1)</f>
        <v>15</v>
      </c>
      <c r="B32">
        <f>VLOOKUP(ArcanaMaster[[#This Row],[位置]],選択用フィールド!$I$2:$J$3,2,FALSE)</f>
        <v>1</v>
      </c>
      <c r="C32" t="str">
        <f>ArcanaMaster[[#This Row],[名前]]</f>
        <v>悪魔</v>
      </c>
      <c r="D32" t="str">
        <f>VLOOKUP(InputData[[#This Row],[発動条件]],選択用フィールド!$A$2:$B$6,2,FALSE)</f>
        <v>StartEffect</v>
      </c>
      <c r="E32">
        <f>InputData[[#This Row],[クールタイム]]</f>
        <v>-1</v>
      </c>
      <c r="F32" t="str">
        <f>選択用フィールド!$G$2&amp;"/"&amp;InputData[[#This Row],[エフェクト]]</f>
        <v>Effect/Arcana/</v>
      </c>
      <c r="G32">
        <f>InputData[[#This Row],[効果音]]</f>
        <v>0</v>
      </c>
      <c r="H32" t="str">
        <f>InputData[[#This Row],[説明]]</f>
        <v>#</v>
      </c>
      <c r="I32" s="1" t="str">
        <f>"Arcana"&amp;TEXT(A32, "00")&amp;VLOOKUP(ArcanaData[[#This Row],[名前]],選択用フィールド!$D$2:$E$23,2,FALSE)&amp;ArcanaMaster[[#This Row],[位置]]</f>
        <v>Arcana15DevilFront</v>
      </c>
    </row>
    <row r="33" spans="1:9" x14ac:dyDescent="0.45">
      <c r="A33">
        <f>INDEX(ArcanaMaster[ID], ROW()-1)</f>
        <v>15</v>
      </c>
      <c r="B33">
        <f>VLOOKUP(ArcanaMaster[[#This Row],[位置]],選択用フィールド!$I$2:$J$3,2,FALSE)</f>
        <v>-1</v>
      </c>
      <c r="C33" t="str">
        <f>ArcanaMaster[[#This Row],[名前]]</f>
        <v>悪魔</v>
      </c>
      <c r="D33" t="str">
        <f>VLOOKUP(InputData[[#This Row],[発動条件]],選択用フィールド!$A$2:$B$6,2,FALSE)</f>
        <v>Command</v>
      </c>
      <c r="E33">
        <f>InputData[[#This Row],[クールタイム]]</f>
        <v>5</v>
      </c>
      <c r="F33" t="str">
        <f>選択用フィールド!$G$2&amp;"/"&amp;InputData[[#This Row],[エフェクト]]</f>
        <v>Effect/Arcana/</v>
      </c>
      <c r="G33">
        <f>InputData[[#This Row],[効果音]]</f>
        <v>0</v>
      </c>
      <c r="H33" t="str">
        <f>InputData[[#This Row],[説明]]</f>
        <v>自分のバフ・デバフを消し、その分攻撃力が上がるカード</v>
      </c>
      <c r="I33" s="1" t="str">
        <f>"Arcana"&amp;TEXT(A33, "00")&amp;VLOOKUP(ArcanaData[[#This Row],[名前]],選択用フィールド!$D$2:$E$23,2,FALSE)&amp;ArcanaMaster[[#This Row],[位置]]</f>
        <v>Arcana15DevilBack</v>
      </c>
    </row>
    <row r="34" spans="1:9" x14ac:dyDescent="0.45">
      <c r="A34">
        <f>INDEX(ArcanaMaster[ID], ROW()-1)</f>
        <v>16</v>
      </c>
      <c r="B34">
        <f>VLOOKUP(ArcanaMaster[[#This Row],[位置]],選択用フィールド!$I$2:$J$3,2,FALSE)</f>
        <v>1</v>
      </c>
      <c r="C34" t="str">
        <f>ArcanaMaster[[#This Row],[名前]]</f>
        <v>塔</v>
      </c>
      <c r="D34" t="str">
        <f>VLOOKUP(InputData[[#This Row],[発動条件]],選択用フィールド!$A$2:$B$6,2,FALSE)</f>
        <v>Command</v>
      </c>
      <c r="E34">
        <f>InputData[[#This Row],[クールタイム]]</f>
        <v>90</v>
      </c>
      <c r="F34" t="str">
        <f>選択用フィールド!$G$2&amp;"/"&amp;InputData[[#This Row],[エフェクト]]</f>
        <v>Effect/Arcana/Turret</v>
      </c>
      <c r="G34">
        <f>InputData[[#This Row],[効果音]]</f>
        <v>0</v>
      </c>
      <c r="H34" t="str">
        <f>InputData[[#This Row],[説明]]</f>
        <v>タレットがおけるカード</v>
      </c>
      <c r="I34" s="1" t="str">
        <f>"Arcana"&amp;TEXT(A34, "00")&amp;VLOOKUP(ArcanaData[[#This Row],[名前]],選択用フィールド!$D$2:$E$23,2,FALSE)&amp;ArcanaMaster[[#This Row],[位置]]</f>
        <v>Arcana16TowerFront</v>
      </c>
    </row>
    <row r="35" spans="1:9" x14ac:dyDescent="0.45">
      <c r="A35">
        <f>INDEX(ArcanaMaster[ID], ROW()-1)</f>
        <v>16</v>
      </c>
      <c r="B35">
        <f>VLOOKUP(ArcanaMaster[[#This Row],[位置]],選択用フィールド!$I$2:$J$3,2,FALSE)</f>
        <v>-1</v>
      </c>
      <c r="C35" t="str">
        <f>ArcanaMaster[[#This Row],[名前]]</f>
        <v>塔</v>
      </c>
      <c r="D35" t="str">
        <f>VLOOKUP(InputData[[#This Row],[発動条件]],選択用フィールド!$A$2:$B$6,2,FALSE)</f>
        <v>StartEffect</v>
      </c>
      <c r="E35">
        <f>InputData[[#This Row],[クールタイム]]</f>
        <v>-1</v>
      </c>
      <c r="F35" t="str">
        <f>選択用フィールド!$G$2&amp;"/"&amp;InputData[[#This Row],[エフェクト]]</f>
        <v>Effect/Arcana/</v>
      </c>
      <c r="G35">
        <f>InputData[[#This Row],[効果音]]</f>
        <v>0</v>
      </c>
      <c r="H35" t="str">
        <f>InputData[[#This Row],[説明]]</f>
        <v>確率で数秒後にスキルが再発動するカード</v>
      </c>
      <c r="I35" s="1" t="str">
        <f>"Arcana"&amp;TEXT(A35, "00")&amp;VLOOKUP(ArcanaData[[#This Row],[名前]],選択用フィールド!$D$2:$E$23,2,FALSE)&amp;ArcanaMaster[[#This Row],[位置]]</f>
        <v>Arcana16TowerBack</v>
      </c>
    </row>
    <row r="36" spans="1:9" x14ac:dyDescent="0.45">
      <c r="A36">
        <f>INDEX(ArcanaMaster[ID], ROW()-1)</f>
        <v>17</v>
      </c>
      <c r="B36">
        <f>VLOOKUP(ArcanaMaster[[#This Row],[位置]],選択用フィールド!$I$2:$J$3,2,FALSE)</f>
        <v>1</v>
      </c>
      <c r="C36" t="str">
        <f>ArcanaMaster[[#This Row],[名前]]</f>
        <v>星</v>
      </c>
      <c r="D36" t="str">
        <f>VLOOKUP(InputData[[#This Row],[発動条件]],選択用フィールド!$A$2:$B$6,2,FALSE)</f>
        <v>Command</v>
      </c>
      <c r="E36">
        <f>InputData[[#This Row],[クールタイム]]</f>
        <v>50</v>
      </c>
      <c r="F36" t="str">
        <f>選択用フィールド!$G$2&amp;"/"&amp;InputData[[#This Row],[エフェクト]]</f>
        <v>Effect/Arcana/</v>
      </c>
      <c r="G36">
        <f>InputData[[#This Row],[効果音]]</f>
        <v>0</v>
      </c>
      <c r="H36" t="str">
        <f>InputData[[#This Row],[説明]]</f>
        <v>あなたが注目を浴びるカード</v>
      </c>
      <c r="I36" s="1" t="str">
        <f>"Arcana"&amp;TEXT(A36, "00")&amp;VLOOKUP(ArcanaData[[#This Row],[名前]],選択用フィールド!$D$2:$E$23,2,FALSE)&amp;ArcanaMaster[[#This Row],[位置]]</f>
        <v>Arcana17StarFront</v>
      </c>
    </row>
    <row r="37" spans="1:9" x14ac:dyDescent="0.45">
      <c r="A37">
        <f>INDEX(ArcanaMaster[ID], ROW()-1)</f>
        <v>17</v>
      </c>
      <c r="B37">
        <f>VLOOKUP(ArcanaMaster[[#This Row],[位置]],選択用フィールド!$I$2:$J$3,2,FALSE)</f>
        <v>-1</v>
      </c>
      <c r="C37" t="str">
        <f>ArcanaMaster[[#This Row],[名前]]</f>
        <v>星</v>
      </c>
      <c r="D37" t="str">
        <f>VLOOKUP(InputData[[#This Row],[発動条件]],選択用フィールド!$A$2:$B$6,2,FALSE)</f>
        <v>Command</v>
      </c>
      <c r="E37">
        <f>InputData[[#This Row],[クールタイム]]</f>
        <v>60</v>
      </c>
      <c r="F37" t="str">
        <f>選択用フィールド!$G$2&amp;"/"&amp;InputData[[#This Row],[エフェクト]]</f>
        <v>Effect/Arcana/</v>
      </c>
      <c r="G37">
        <f>InputData[[#This Row],[効果音]]</f>
        <v>0</v>
      </c>
      <c r="H37" t="str">
        <f>InputData[[#This Row],[説明]]</f>
        <v>無敵を付与するカード</v>
      </c>
      <c r="I37" s="1" t="str">
        <f>"Arcana"&amp;TEXT(A37, "00")&amp;VLOOKUP(ArcanaData[[#This Row],[名前]],選択用フィールド!$D$2:$E$23,2,FALSE)&amp;ArcanaMaster[[#This Row],[位置]]</f>
        <v>Arcana17StarBack</v>
      </c>
    </row>
    <row r="38" spans="1:9" x14ac:dyDescent="0.45">
      <c r="A38">
        <f>INDEX(ArcanaMaster[ID], ROW()-1)</f>
        <v>18</v>
      </c>
      <c r="B38">
        <f>VLOOKUP(ArcanaMaster[[#This Row],[位置]],選択用フィールド!$I$2:$J$3,2,FALSE)</f>
        <v>1</v>
      </c>
      <c r="C38" t="str">
        <f>ArcanaMaster[[#This Row],[名前]]</f>
        <v>月</v>
      </c>
      <c r="D38" t="str">
        <f>VLOOKUP(InputData[[#This Row],[発動条件]],選択用フィールド!$A$2:$B$6,2,FALSE)</f>
        <v>StartEffect</v>
      </c>
      <c r="E38">
        <f>InputData[[#This Row],[クールタイム]]</f>
        <v>-1</v>
      </c>
      <c r="F38" t="str">
        <f>選択用フィールド!$G$2&amp;"/"&amp;InputData[[#This Row],[エフェクト]]</f>
        <v>Effect/Arcana/</v>
      </c>
      <c r="G38">
        <f>InputData[[#This Row],[効果音]]</f>
        <v>0</v>
      </c>
      <c r="H38" t="str">
        <f>InputData[[#This Row],[説明]]</f>
        <v>#</v>
      </c>
      <c r="I38" s="1" t="str">
        <f>"Arcana"&amp;TEXT(A38, "00")&amp;VLOOKUP(ArcanaData[[#This Row],[名前]],選択用フィールド!$D$2:$E$23,2,FALSE)&amp;ArcanaMaster[[#This Row],[位置]]</f>
        <v>Arcana18MoonFront</v>
      </c>
    </row>
    <row r="39" spans="1:9" x14ac:dyDescent="0.45">
      <c r="A39">
        <f>INDEX(ArcanaMaster[ID], ROW()-1)</f>
        <v>18</v>
      </c>
      <c r="B39">
        <f>VLOOKUP(ArcanaMaster[[#This Row],[位置]],選択用フィールド!$I$2:$J$3,2,FALSE)</f>
        <v>-1</v>
      </c>
      <c r="C39" t="str">
        <f>ArcanaMaster[[#This Row],[名前]]</f>
        <v>月</v>
      </c>
      <c r="D39" t="str">
        <f>VLOOKUP(InputData[[#This Row],[発動条件]],選択用フィールド!$A$2:$B$6,2,FALSE)</f>
        <v>StartEffect</v>
      </c>
      <c r="E39">
        <f>InputData[[#This Row],[クールタイム]]</f>
        <v>-1</v>
      </c>
      <c r="F39" t="str">
        <f>選択用フィールド!$G$2&amp;"/"&amp;InputData[[#This Row],[エフェクト]]</f>
        <v>Effect/Arcana/</v>
      </c>
      <c r="G39">
        <f>InputData[[#This Row],[効果音]]</f>
        <v>0</v>
      </c>
      <c r="H39" t="str">
        <f>InputData[[#This Row],[説明]]</f>
        <v>#</v>
      </c>
      <c r="I39" s="1" t="str">
        <f>"Arcana"&amp;TEXT(A39, "00")&amp;VLOOKUP(ArcanaData[[#This Row],[名前]],選択用フィールド!$D$2:$E$23,2,FALSE)&amp;ArcanaMaster[[#This Row],[位置]]</f>
        <v>Arcana18MoonBack</v>
      </c>
    </row>
    <row r="40" spans="1:9" x14ac:dyDescent="0.45">
      <c r="A40">
        <f>INDEX(ArcanaMaster[ID], ROW()-1)</f>
        <v>19</v>
      </c>
      <c r="B40">
        <f>VLOOKUP(ArcanaMaster[[#This Row],[位置]],選択用フィールド!$I$2:$J$3,2,FALSE)</f>
        <v>1</v>
      </c>
      <c r="C40" t="str">
        <f>ArcanaMaster[[#This Row],[名前]]</f>
        <v>太陽</v>
      </c>
      <c r="D40" t="str">
        <f>VLOOKUP(InputData[[#This Row],[発動条件]],選択用フィールド!$A$2:$B$6,2,FALSE)</f>
        <v>Command</v>
      </c>
      <c r="E40">
        <f>InputData[[#This Row],[クールタイム]]</f>
        <v>45</v>
      </c>
      <c r="F40" t="str">
        <f>選択用フィールド!$G$2&amp;"/"&amp;InputData[[#This Row],[エフェクト]]</f>
        <v>Effect/Arcana/</v>
      </c>
      <c r="G40">
        <f>InputData[[#This Row],[効果音]]</f>
        <v>0</v>
      </c>
      <c r="H40" t="str">
        <f>InputData[[#This Row],[説明]]</f>
        <v>晴れ日和になるカード</v>
      </c>
      <c r="I40" s="1" t="str">
        <f>"Arcana"&amp;TEXT(A40, "00")&amp;VLOOKUP(ArcanaData[[#This Row],[名前]],選択用フィールド!$D$2:$E$23,2,FALSE)&amp;ArcanaMaster[[#This Row],[位置]]</f>
        <v>Arcana19SunFront</v>
      </c>
    </row>
    <row r="41" spans="1:9" x14ac:dyDescent="0.45">
      <c r="A41">
        <f>INDEX(ArcanaMaster[ID], ROW()-1)</f>
        <v>19</v>
      </c>
      <c r="B41">
        <f>VLOOKUP(ArcanaMaster[[#This Row],[位置]],選択用フィールド!$I$2:$J$3,2,FALSE)</f>
        <v>-1</v>
      </c>
      <c r="C41" t="str">
        <f>ArcanaMaster[[#This Row],[名前]]</f>
        <v>太陽</v>
      </c>
      <c r="D41" t="str">
        <f>VLOOKUP(InputData[[#This Row],[発動条件]],選択用フィールド!$A$2:$B$6,2,FALSE)</f>
        <v>Command</v>
      </c>
      <c r="E41">
        <f>InputData[[#This Row],[クールタイム]]</f>
        <v>45</v>
      </c>
      <c r="F41" t="str">
        <f>選択用フィールド!$G$2&amp;"/"&amp;InputData[[#This Row],[エフェクト]]</f>
        <v>Effect/Arcana/</v>
      </c>
      <c r="G41">
        <f>InputData[[#This Row],[効果音]]</f>
        <v>0</v>
      </c>
      <c r="H41" t="str">
        <f>InputData[[#This Row],[説明]]</f>
        <v>敵をスタンするカード</v>
      </c>
      <c r="I41" s="1" t="str">
        <f>"Arcana"&amp;TEXT(A41, "00")&amp;VLOOKUP(ArcanaData[[#This Row],[名前]],選択用フィールド!$D$2:$E$23,2,FALSE)&amp;ArcanaMaster[[#This Row],[位置]]</f>
        <v>Arcana19SunBack</v>
      </c>
    </row>
    <row r="42" spans="1:9" x14ac:dyDescent="0.45">
      <c r="A42">
        <f>INDEX(ArcanaMaster[ID], ROW()-1)</f>
        <v>20</v>
      </c>
      <c r="B42">
        <f>VLOOKUP(ArcanaMaster[[#This Row],[位置]],選択用フィールド!$I$2:$J$3,2,FALSE)</f>
        <v>1</v>
      </c>
      <c r="C42" t="str">
        <f>ArcanaMaster[[#This Row],[名前]]</f>
        <v>審判</v>
      </c>
      <c r="D42" t="str">
        <f>VLOOKUP(InputData[[#This Row],[発動条件]],選択用フィールド!$A$2:$B$6,2,FALSE)</f>
        <v>StartEffect</v>
      </c>
      <c r="E42">
        <f>InputData[[#This Row],[クールタイム]]</f>
        <v>-1</v>
      </c>
      <c r="F42" t="str">
        <f>選択用フィールド!$G$2&amp;"/"&amp;InputData[[#This Row],[エフェクト]]</f>
        <v>Effect/Arcana/</v>
      </c>
      <c r="G42">
        <f>InputData[[#This Row],[効果音]]</f>
        <v>0</v>
      </c>
      <c r="H42" t="str">
        <f>InputData[[#This Row],[説明]]</f>
        <v>#</v>
      </c>
      <c r="I42" s="1" t="str">
        <f>"Arcana"&amp;TEXT(A42, "00")&amp;VLOOKUP(ArcanaData[[#This Row],[名前]],選択用フィールド!$D$2:$E$23,2,FALSE)&amp;ArcanaMaster[[#This Row],[位置]]</f>
        <v>Arcana20JudgementFront</v>
      </c>
    </row>
    <row r="43" spans="1:9" x14ac:dyDescent="0.45">
      <c r="A43">
        <f>INDEX(ArcanaMaster[ID], ROW()-1)</f>
        <v>20</v>
      </c>
      <c r="B43">
        <f>VLOOKUP(ArcanaMaster[[#This Row],[位置]],選択用フィールド!$I$2:$J$3,2,FALSE)</f>
        <v>-1</v>
      </c>
      <c r="C43" t="str">
        <f>ArcanaMaster[[#This Row],[名前]]</f>
        <v>審判</v>
      </c>
      <c r="D43" t="str">
        <f>VLOOKUP(InputData[[#This Row],[発動条件]],選択用フィールド!$A$2:$B$6,2,FALSE)</f>
        <v>Command</v>
      </c>
      <c r="E43">
        <f>InputData[[#This Row],[クールタイム]]</f>
        <v>45</v>
      </c>
      <c r="F43" t="str">
        <f>選択用フィールド!$G$2&amp;"/"&amp;InputData[[#This Row],[エフェクト]]</f>
        <v>Effect/Arcana/miniBullet</v>
      </c>
      <c r="G43">
        <f>InputData[[#This Row],[効果音]]</f>
        <v>0</v>
      </c>
      <c r="H43" t="str">
        <f>InputData[[#This Row],[説明]]</f>
        <v>銃弾の雨が降ってくるカード</v>
      </c>
      <c r="I43" s="1" t="str">
        <f>"Arcana"&amp;TEXT(A43, "00")&amp;VLOOKUP(ArcanaData[[#This Row],[名前]],選択用フィールド!$D$2:$E$23,2,FALSE)&amp;ArcanaMaster[[#This Row],[位置]]</f>
        <v>Arcana20JudgementBack</v>
      </c>
    </row>
    <row r="44" spans="1:9" x14ac:dyDescent="0.45">
      <c r="A44">
        <f>INDEX(ArcanaMaster[ID], ROW()-1)</f>
        <v>21</v>
      </c>
      <c r="B44">
        <f>VLOOKUP(ArcanaMaster[[#This Row],[位置]],選択用フィールド!$I$2:$J$3,2,FALSE)</f>
        <v>1</v>
      </c>
      <c r="C44" t="str">
        <f>ArcanaMaster[[#This Row],[名前]]</f>
        <v>世界</v>
      </c>
      <c r="D44" t="str">
        <f>VLOOKUP(InputData[[#This Row],[発動条件]],選択用フィールド!$A$2:$B$6,2,FALSE)</f>
        <v>StartEffect</v>
      </c>
      <c r="E44">
        <f>InputData[[#This Row],[クールタイム]]</f>
        <v>-1</v>
      </c>
      <c r="F44" t="str">
        <f>選択用フィールド!$G$2&amp;"/"&amp;InputData[[#This Row],[エフェクト]]</f>
        <v>Effect/Arcana/</v>
      </c>
      <c r="G44">
        <f>InputData[[#This Row],[効果音]]</f>
        <v>0</v>
      </c>
      <c r="H44" t="str">
        <f>InputData[[#This Row],[説明]]</f>
        <v>二段ジャンプができるカード</v>
      </c>
      <c r="I44" s="1" t="str">
        <f>"Arcana"&amp;TEXT(A44, "00")&amp;VLOOKUP(ArcanaData[[#This Row],[名前]],選択用フィールド!$D$2:$E$23,2,FALSE)&amp;ArcanaMaster[[#This Row],[位置]]</f>
        <v>Arcana21WorldFront</v>
      </c>
    </row>
    <row r="45" spans="1:9" x14ac:dyDescent="0.45">
      <c r="A45">
        <f>INDEX(ArcanaMaster[ID], ROW()-1)</f>
        <v>21</v>
      </c>
      <c r="B45">
        <f>VLOOKUP(ArcanaMaster[[#This Row],[位置]],選択用フィールド!$I$2:$J$3,2,FALSE)</f>
        <v>-1</v>
      </c>
      <c r="C45" t="str">
        <f>ArcanaMaster[[#This Row],[名前]]</f>
        <v>世界</v>
      </c>
      <c r="D45" t="str">
        <f>VLOOKUP(InputData[[#This Row],[発動条件]],選択用フィールド!$A$2:$B$6,2,FALSE)</f>
        <v>StartEffect</v>
      </c>
      <c r="E45">
        <f>InputData[[#This Row],[クールタイム]]</f>
        <v>-1</v>
      </c>
      <c r="F45" t="str">
        <f>選択用フィールド!$G$2&amp;"/"&amp;InputData[[#This Row],[エフェクト]]</f>
        <v>Effect/Arcana/</v>
      </c>
      <c r="G45">
        <f>InputData[[#This Row],[効果音]]</f>
        <v>0</v>
      </c>
      <c r="H45" t="str">
        <f>InputData[[#This Row],[説明]]</f>
        <v>次元移動ができるカード</v>
      </c>
      <c r="I45" s="1" t="str">
        <f>"Arcana"&amp;TEXT(A45, "00")&amp;VLOOKUP(ArcanaData[[#This Row],[名前]],選択用フィールド!$D$2:$E$23,2,FALSE)&amp;ArcanaMaster[[#This Row],[位置]]</f>
        <v>Arcana21WorldBack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57FC-DF38-4EEA-B04B-DBAD106E9B87}">
  <dimension ref="A1:J23"/>
  <sheetViews>
    <sheetView workbookViewId="0">
      <selection activeCell="J10" sqref="J10"/>
    </sheetView>
  </sheetViews>
  <sheetFormatPr defaultRowHeight="18" x14ac:dyDescent="0.45"/>
  <cols>
    <col min="1" max="1" width="18.296875" bestFit="1" customWidth="1"/>
    <col min="2" max="2" width="15.69921875" bestFit="1" customWidth="1"/>
    <col min="4" max="4" width="12.3984375" bestFit="1" customWidth="1"/>
    <col min="5" max="5" width="15.296875" bestFit="1" customWidth="1"/>
    <col min="7" max="7" width="17.09765625" bestFit="1" customWidth="1"/>
    <col min="9" max="9" width="8.19921875" customWidth="1"/>
  </cols>
  <sheetData>
    <row r="1" spans="1:10" x14ac:dyDescent="0.45">
      <c r="A1" s="2" t="s">
        <v>4</v>
      </c>
      <c r="B1" s="2"/>
      <c r="D1" s="2" t="s">
        <v>58</v>
      </c>
      <c r="E1" s="2"/>
      <c r="G1" t="s">
        <v>82</v>
      </c>
      <c r="I1" s="2" t="s">
        <v>85</v>
      </c>
      <c r="J1" s="2"/>
    </row>
    <row r="2" spans="1:10" x14ac:dyDescent="0.45">
      <c r="A2" t="s">
        <v>34</v>
      </c>
      <c r="B2" t="s">
        <v>88</v>
      </c>
      <c r="D2" t="s">
        <v>36</v>
      </c>
      <c r="E2" t="s">
        <v>59</v>
      </c>
      <c r="G2" t="s">
        <v>97</v>
      </c>
      <c r="I2" t="s">
        <v>86</v>
      </c>
      <c r="J2">
        <v>1</v>
      </c>
    </row>
    <row r="3" spans="1:10" x14ac:dyDescent="0.45">
      <c r="A3" t="s">
        <v>33</v>
      </c>
      <c r="B3" t="s">
        <v>89</v>
      </c>
      <c r="D3" t="s">
        <v>37</v>
      </c>
      <c r="E3" t="s">
        <v>60</v>
      </c>
      <c r="I3" t="s">
        <v>87</v>
      </c>
      <c r="J3">
        <v>-1</v>
      </c>
    </row>
    <row r="4" spans="1:10" x14ac:dyDescent="0.45">
      <c r="A4" t="s">
        <v>93</v>
      </c>
      <c r="B4" t="s">
        <v>90</v>
      </c>
      <c r="D4" t="s">
        <v>38</v>
      </c>
      <c r="E4" t="s">
        <v>61</v>
      </c>
      <c r="G4" t="s">
        <v>83</v>
      </c>
    </row>
    <row r="5" spans="1:10" x14ac:dyDescent="0.45">
      <c r="A5" t="s">
        <v>94</v>
      </c>
      <c r="B5" t="s">
        <v>91</v>
      </c>
      <c r="D5" t="s">
        <v>39</v>
      </c>
      <c r="E5" t="s">
        <v>62</v>
      </c>
      <c r="G5" t="s">
        <v>84</v>
      </c>
    </row>
    <row r="6" spans="1:10" x14ac:dyDescent="0.45">
      <c r="A6" t="s">
        <v>95</v>
      </c>
      <c r="B6" t="s">
        <v>92</v>
      </c>
      <c r="D6" t="s">
        <v>40</v>
      </c>
      <c r="E6" t="s">
        <v>63</v>
      </c>
    </row>
    <row r="7" spans="1:10" x14ac:dyDescent="0.45">
      <c r="D7" t="s">
        <v>41</v>
      </c>
      <c r="E7" t="s">
        <v>64</v>
      </c>
    </row>
    <row r="8" spans="1:10" x14ac:dyDescent="0.45">
      <c r="D8" t="s">
        <v>42</v>
      </c>
      <c r="E8" t="s">
        <v>65</v>
      </c>
    </row>
    <row r="9" spans="1:10" x14ac:dyDescent="0.45">
      <c r="D9" t="s">
        <v>43</v>
      </c>
      <c r="E9" t="s">
        <v>66</v>
      </c>
    </row>
    <row r="10" spans="1:10" x14ac:dyDescent="0.45">
      <c r="D10" t="s">
        <v>44</v>
      </c>
      <c r="E10" t="s">
        <v>67</v>
      </c>
    </row>
    <row r="11" spans="1:10" x14ac:dyDescent="0.45">
      <c r="D11" t="s">
        <v>45</v>
      </c>
      <c r="E11" t="s">
        <v>68</v>
      </c>
    </row>
    <row r="12" spans="1:10" x14ac:dyDescent="0.45">
      <c r="D12" t="s">
        <v>46</v>
      </c>
      <c r="E12" t="s">
        <v>69</v>
      </c>
    </row>
    <row r="13" spans="1:10" x14ac:dyDescent="0.45">
      <c r="D13" t="s">
        <v>47</v>
      </c>
      <c r="E13" t="s">
        <v>70</v>
      </c>
    </row>
    <row r="14" spans="1:10" x14ac:dyDescent="0.45">
      <c r="D14" t="s">
        <v>48</v>
      </c>
      <c r="E14" t="s">
        <v>71</v>
      </c>
    </row>
    <row r="15" spans="1:10" x14ac:dyDescent="0.45">
      <c r="D15" t="s">
        <v>49</v>
      </c>
      <c r="E15" t="s">
        <v>72</v>
      </c>
    </row>
    <row r="16" spans="1:10" x14ac:dyDescent="0.45">
      <c r="D16" t="s">
        <v>50</v>
      </c>
      <c r="E16" t="s">
        <v>73</v>
      </c>
    </row>
    <row r="17" spans="4:5" x14ac:dyDescent="0.45">
      <c r="D17" t="s">
        <v>51</v>
      </c>
      <c r="E17" t="s">
        <v>74</v>
      </c>
    </row>
    <row r="18" spans="4:5" x14ac:dyDescent="0.45">
      <c r="D18" t="s">
        <v>52</v>
      </c>
      <c r="E18" t="s">
        <v>75</v>
      </c>
    </row>
    <row r="19" spans="4:5" x14ac:dyDescent="0.45">
      <c r="D19" t="s">
        <v>53</v>
      </c>
      <c r="E19" t="s">
        <v>76</v>
      </c>
    </row>
    <row r="20" spans="4:5" x14ac:dyDescent="0.45">
      <c r="D20" t="s">
        <v>54</v>
      </c>
      <c r="E20" t="s">
        <v>77</v>
      </c>
    </row>
    <row r="21" spans="4:5" x14ac:dyDescent="0.45">
      <c r="D21" t="s">
        <v>55</v>
      </c>
      <c r="E21" t="s">
        <v>78</v>
      </c>
    </row>
    <row r="22" spans="4:5" x14ac:dyDescent="0.45">
      <c r="D22" t="s">
        <v>56</v>
      </c>
      <c r="E22" t="s">
        <v>79</v>
      </c>
    </row>
    <row r="23" spans="4:5" x14ac:dyDescent="0.45">
      <c r="D23" t="s">
        <v>57</v>
      </c>
      <c r="E23" t="s">
        <v>80</v>
      </c>
    </row>
  </sheetData>
  <mergeCells count="3">
    <mergeCell ref="A1:B1"/>
    <mergeCell ref="D1:E1"/>
    <mergeCell ref="I1:J1"/>
  </mergeCells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9A0F-8337-4201-B700-EC3BC8157248}">
  <dimension ref="A1:G45"/>
  <sheetViews>
    <sheetView workbookViewId="0">
      <selection activeCell="C21" sqref="C21"/>
    </sheetView>
  </sheetViews>
  <sheetFormatPr defaultRowHeight="18" x14ac:dyDescent="0.45"/>
  <cols>
    <col min="1" max="1" width="12.3984375" bestFit="1" customWidth="1"/>
    <col min="3" max="3" width="18.296875" bestFit="1" customWidth="1"/>
    <col min="4" max="4" width="13.19921875" customWidth="1"/>
    <col min="5" max="5" width="19.19921875" customWidth="1"/>
    <col min="6" max="6" width="26.09765625" customWidth="1"/>
    <col min="7" max="7" width="75.8984375" customWidth="1"/>
  </cols>
  <sheetData>
    <row r="1" spans="1:7" x14ac:dyDescent="0.45">
      <c r="A1" t="s">
        <v>2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3</v>
      </c>
    </row>
    <row r="2" spans="1:7" x14ac:dyDescent="0.45">
      <c r="A2" t="str">
        <f>ArcanaMaster[[#This Row],[名前]]</f>
        <v>愚者</v>
      </c>
      <c r="B2" t="str">
        <f>IF(ArcanaMaster[[#This Row],[位置]]="Front", "正位置", "逆位置")</f>
        <v>正位置</v>
      </c>
      <c r="C2" t="s">
        <v>34</v>
      </c>
      <c r="D2">
        <v>-1</v>
      </c>
      <c r="G2" t="s">
        <v>113</v>
      </c>
    </row>
    <row r="3" spans="1:7" x14ac:dyDescent="0.45">
      <c r="A3" t="str">
        <f>ArcanaMaster[[#This Row],[名前]]</f>
        <v>愚者</v>
      </c>
      <c r="B3" t="str">
        <f>IF(ArcanaMaster[[#This Row],[位置]]="Front", "正位置", "逆位置")</f>
        <v>逆位置</v>
      </c>
      <c r="C3" t="s">
        <v>34</v>
      </c>
      <c r="D3">
        <v>-1</v>
      </c>
      <c r="G3" t="s">
        <v>98</v>
      </c>
    </row>
    <row r="4" spans="1:7" x14ac:dyDescent="0.45">
      <c r="A4" t="str">
        <f>ArcanaMaster[[#This Row],[名前]]</f>
        <v>魔術師</v>
      </c>
      <c r="B4" t="str">
        <f>IF(ArcanaMaster[[#This Row],[位置]]="Front", "正位置", "逆位置")</f>
        <v>正位置</v>
      </c>
      <c r="C4" t="s">
        <v>34</v>
      </c>
      <c r="D4">
        <v>-1</v>
      </c>
      <c r="G4" t="s">
        <v>99</v>
      </c>
    </row>
    <row r="5" spans="1:7" x14ac:dyDescent="0.45">
      <c r="A5" t="str">
        <f>ArcanaMaster[[#This Row],[名前]]</f>
        <v>魔術師</v>
      </c>
      <c r="B5" t="str">
        <f>IF(ArcanaMaster[[#This Row],[位置]]="Front", "正位置", "逆位置")</f>
        <v>逆位置</v>
      </c>
      <c r="C5" t="s">
        <v>33</v>
      </c>
      <c r="D5">
        <v>30</v>
      </c>
      <c r="E5" t="s">
        <v>96</v>
      </c>
      <c r="G5" t="s">
        <v>100</v>
      </c>
    </row>
    <row r="6" spans="1:7" x14ac:dyDescent="0.45">
      <c r="A6" t="str">
        <f>ArcanaMaster[[#This Row],[名前]]</f>
        <v>女教皇</v>
      </c>
      <c r="B6" t="str">
        <f>IF(ArcanaMaster[[#This Row],[位置]]="Front", "正位置", "逆位置")</f>
        <v>正位置</v>
      </c>
      <c r="C6" t="s">
        <v>34</v>
      </c>
      <c r="D6">
        <v>-1</v>
      </c>
      <c r="G6" t="s">
        <v>101</v>
      </c>
    </row>
    <row r="7" spans="1:7" x14ac:dyDescent="0.45">
      <c r="A7" t="str">
        <f>ArcanaMaster[[#This Row],[名前]]</f>
        <v>女教皇</v>
      </c>
      <c r="B7" t="str">
        <f>IF(ArcanaMaster[[#This Row],[位置]]="Front", "正位置", "逆位置")</f>
        <v>逆位置</v>
      </c>
      <c r="C7" t="s">
        <v>34</v>
      </c>
      <c r="D7">
        <v>-1</v>
      </c>
      <c r="G7" t="s">
        <v>102</v>
      </c>
    </row>
    <row r="8" spans="1:7" x14ac:dyDescent="0.45">
      <c r="A8" t="str">
        <f>ArcanaMaster[[#This Row],[名前]]</f>
        <v>女帝</v>
      </c>
      <c r="B8" t="str">
        <f>IF(ArcanaMaster[[#This Row],[位置]]="Front", "正位置", "逆位置")</f>
        <v>正位置</v>
      </c>
      <c r="C8" t="s">
        <v>34</v>
      </c>
      <c r="D8">
        <v>-1</v>
      </c>
      <c r="G8" t="s">
        <v>103</v>
      </c>
    </row>
    <row r="9" spans="1:7" x14ac:dyDescent="0.45">
      <c r="A9" t="str">
        <f>ArcanaMaster[[#This Row],[名前]]</f>
        <v>女帝</v>
      </c>
      <c r="B9" t="str">
        <f>IF(ArcanaMaster[[#This Row],[位置]]="Front", "正位置", "逆位置")</f>
        <v>逆位置</v>
      </c>
      <c r="C9" t="s">
        <v>34</v>
      </c>
      <c r="D9">
        <v>-1</v>
      </c>
      <c r="E9" t="s">
        <v>136</v>
      </c>
      <c r="G9" t="s">
        <v>104</v>
      </c>
    </row>
    <row r="10" spans="1:7" x14ac:dyDescent="0.45">
      <c r="A10" t="str">
        <f>ArcanaMaster[[#This Row],[名前]]</f>
        <v>皇帝</v>
      </c>
      <c r="B10" t="str">
        <f>IF(ArcanaMaster[[#This Row],[位置]]="Front", "正位置", "逆位置")</f>
        <v>正位置</v>
      </c>
      <c r="C10" t="s">
        <v>33</v>
      </c>
      <c r="D10">
        <v>60</v>
      </c>
      <c r="G10" t="s">
        <v>105</v>
      </c>
    </row>
    <row r="11" spans="1:7" x14ac:dyDescent="0.45">
      <c r="A11" t="str">
        <f>ArcanaMaster[[#This Row],[名前]]</f>
        <v>皇帝</v>
      </c>
      <c r="B11" t="str">
        <f>IF(ArcanaMaster[[#This Row],[位置]]="Front", "正位置", "逆位置")</f>
        <v>逆位置</v>
      </c>
      <c r="C11" t="s">
        <v>34</v>
      </c>
      <c r="D11">
        <v>-1</v>
      </c>
      <c r="G11" t="s">
        <v>106</v>
      </c>
    </row>
    <row r="12" spans="1:7" x14ac:dyDescent="0.45">
      <c r="A12" t="str">
        <f>ArcanaMaster[[#This Row],[名前]]</f>
        <v>教皇</v>
      </c>
      <c r="B12" t="str">
        <f>IF(ArcanaMaster[[#This Row],[位置]]="Front", "正位置", "逆位置")</f>
        <v>正位置</v>
      </c>
      <c r="C12" t="s">
        <v>34</v>
      </c>
      <c r="D12">
        <v>-1</v>
      </c>
      <c r="G12" t="s">
        <v>107</v>
      </c>
    </row>
    <row r="13" spans="1:7" x14ac:dyDescent="0.45">
      <c r="A13" t="str">
        <f>ArcanaMaster[[#This Row],[名前]]</f>
        <v>教皇</v>
      </c>
      <c r="B13" t="str">
        <f>IF(ArcanaMaster[[#This Row],[位置]]="Front", "正位置", "逆位置")</f>
        <v>逆位置</v>
      </c>
      <c r="C13" t="s">
        <v>33</v>
      </c>
      <c r="D13">
        <v>30</v>
      </c>
      <c r="G13" t="s">
        <v>108</v>
      </c>
    </row>
    <row r="14" spans="1:7" x14ac:dyDescent="0.45">
      <c r="A14" t="str">
        <f>ArcanaMaster[[#This Row],[名前]]</f>
        <v>恋人</v>
      </c>
      <c r="B14" t="str">
        <f>IF(ArcanaMaster[[#This Row],[位置]]="Front", "正位置", "逆位置")</f>
        <v>正位置</v>
      </c>
      <c r="C14" t="s">
        <v>33</v>
      </c>
      <c r="D14">
        <v>30</v>
      </c>
      <c r="G14" t="s">
        <v>109</v>
      </c>
    </row>
    <row r="15" spans="1:7" x14ac:dyDescent="0.45">
      <c r="A15" t="str">
        <f>ArcanaMaster[[#This Row],[名前]]</f>
        <v>恋人</v>
      </c>
      <c r="B15" t="str">
        <f>IF(ArcanaMaster[[#This Row],[位置]]="Front", "正位置", "逆位置")</f>
        <v>逆位置</v>
      </c>
      <c r="C15" t="s">
        <v>33</v>
      </c>
      <c r="D15">
        <v>40</v>
      </c>
      <c r="G15" t="s">
        <v>110</v>
      </c>
    </row>
    <row r="16" spans="1:7" x14ac:dyDescent="0.45">
      <c r="A16" t="str">
        <f>ArcanaMaster[[#This Row],[名前]]</f>
        <v>戦車</v>
      </c>
      <c r="B16" t="str">
        <f>IF(ArcanaMaster[[#This Row],[位置]]="Front", "正位置", "逆位置")</f>
        <v>正位置</v>
      </c>
      <c r="C16" t="s">
        <v>34</v>
      </c>
      <c r="D16">
        <v>-1</v>
      </c>
      <c r="G16" t="s">
        <v>135</v>
      </c>
    </row>
    <row r="17" spans="1:7" x14ac:dyDescent="0.45">
      <c r="A17" t="str">
        <f>ArcanaMaster[[#This Row],[名前]]</f>
        <v>戦車</v>
      </c>
      <c r="B17" t="str">
        <f>IF(ArcanaMaster[[#This Row],[位置]]="Front", "正位置", "逆位置")</f>
        <v>逆位置</v>
      </c>
      <c r="C17" t="s">
        <v>34</v>
      </c>
      <c r="D17">
        <v>-1</v>
      </c>
      <c r="G17" t="s">
        <v>111</v>
      </c>
    </row>
    <row r="18" spans="1:7" x14ac:dyDescent="0.45">
      <c r="A18" t="str">
        <f>ArcanaMaster[[#This Row],[名前]]</f>
        <v>力</v>
      </c>
      <c r="B18" t="str">
        <f>IF(ArcanaMaster[[#This Row],[位置]]="Front", "正位置", "逆位置")</f>
        <v>正位置</v>
      </c>
      <c r="C18" t="s">
        <v>34</v>
      </c>
      <c r="D18">
        <v>-1</v>
      </c>
      <c r="G18" t="s">
        <v>112</v>
      </c>
    </row>
    <row r="19" spans="1:7" x14ac:dyDescent="0.45">
      <c r="A19" t="str">
        <f>ArcanaMaster[[#This Row],[名前]]</f>
        <v>力</v>
      </c>
      <c r="B19" t="str">
        <f>IF(ArcanaMaster[[#This Row],[位置]]="Front", "正位置", "逆位置")</f>
        <v>逆位置</v>
      </c>
      <c r="C19" t="s">
        <v>94</v>
      </c>
      <c r="D19">
        <v>-1</v>
      </c>
      <c r="G19" t="s">
        <v>114</v>
      </c>
    </row>
    <row r="20" spans="1:7" x14ac:dyDescent="0.45">
      <c r="A20" t="str">
        <f>ArcanaMaster[[#This Row],[名前]]</f>
        <v>隠者</v>
      </c>
      <c r="B20" t="str">
        <f>IF(ArcanaMaster[[#This Row],[位置]]="Front", "正位置", "逆位置")</f>
        <v>正位置</v>
      </c>
      <c r="C20" t="s">
        <v>34</v>
      </c>
      <c r="D20">
        <v>-1</v>
      </c>
      <c r="G20" t="s">
        <v>115</v>
      </c>
    </row>
    <row r="21" spans="1:7" x14ac:dyDescent="0.45">
      <c r="A21" t="str">
        <f>ArcanaMaster[[#This Row],[名前]]</f>
        <v>隠者</v>
      </c>
      <c r="B21" t="str">
        <f>IF(ArcanaMaster[[#This Row],[位置]]="Front", "正位置", "逆位置")</f>
        <v>逆位置</v>
      </c>
      <c r="C21" t="s">
        <v>34</v>
      </c>
      <c r="D21">
        <v>-1</v>
      </c>
      <c r="E21" t="s">
        <v>137</v>
      </c>
      <c r="G21" t="s">
        <v>116</v>
      </c>
    </row>
    <row r="22" spans="1:7" x14ac:dyDescent="0.45">
      <c r="A22" t="str">
        <f>ArcanaMaster[[#This Row],[名前]]</f>
        <v>運命の輪</v>
      </c>
      <c r="B22" t="str">
        <f>IF(ArcanaMaster[[#This Row],[位置]]="Front", "正位置", "逆位置")</f>
        <v>正位置</v>
      </c>
      <c r="C22" t="s">
        <v>33</v>
      </c>
      <c r="D22">
        <v>15</v>
      </c>
      <c r="G22" t="s">
        <v>117</v>
      </c>
    </row>
    <row r="23" spans="1:7" x14ac:dyDescent="0.45">
      <c r="A23" t="str">
        <f>ArcanaMaster[[#This Row],[名前]]</f>
        <v>運命の輪</v>
      </c>
      <c r="B23" t="str">
        <f>IF(ArcanaMaster[[#This Row],[位置]]="Front", "正位置", "逆位置")</f>
        <v>逆位置</v>
      </c>
      <c r="C23" t="s">
        <v>33</v>
      </c>
      <c r="D23">
        <v>30</v>
      </c>
      <c r="G23" t="s">
        <v>118</v>
      </c>
    </row>
    <row r="24" spans="1:7" x14ac:dyDescent="0.45">
      <c r="A24" t="str">
        <f>ArcanaMaster[[#This Row],[名前]]</f>
        <v>正義</v>
      </c>
      <c r="B24" t="str">
        <f>IF(ArcanaMaster[[#This Row],[位置]]="Front", "正位置", "逆位置")</f>
        <v>正位置</v>
      </c>
      <c r="C24" t="s">
        <v>33</v>
      </c>
      <c r="D24">
        <v>60</v>
      </c>
      <c r="G24" t="s">
        <v>140</v>
      </c>
    </row>
    <row r="25" spans="1:7" x14ac:dyDescent="0.45">
      <c r="A25" t="str">
        <f>ArcanaMaster[[#This Row],[名前]]</f>
        <v>正義</v>
      </c>
      <c r="B25" t="str">
        <f>IF(ArcanaMaster[[#This Row],[位置]]="Front", "正位置", "逆位置")</f>
        <v>逆位置</v>
      </c>
      <c r="C25" t="s">
        <v>33</v>
      </c>
      <c r="D25">
        <v>30</v>
      </c>
      <c r="G25" t="s">
        <v>119</v>
      </c>
    </row>
    <row r="26" spans="1:7" x14ac:dyDescent="0.45">
      <c r="A26" t="str">
        <f>ArcanaMaster[[#This Row],[名前]]</f>
        <v>つるされた男</v>
      </c>
      <c r="B26" t="str">
        <f>IF(ArcanaMaster[[#This Row],[位置]]="Front", "正位置", "逆位置")</f>
        <v>正位置</v>
      </c>
      <c r="C26" t="s">
        <v>33</v>
      </c>
      <c r="D26">
        <v>30</v>
      </c>
      <c r="G26" t="s">
        <v>120</v>
      </c>
    </row>
    <row r="27" spans="1:7" x14ac:dyDescent="0.45">
      <c r="A27" t="str">
        <f>ArcanaMaster[[#This Row],[名前]]</f>
        <v>つるされた男</v>
      </c>
      <c r="B27" t="str">
        <f>IF(ArcanaMaster[[#This Row],[位置]]="Front", "正位置", "逆位置")</f>
        <v>逆位置</v>
      </c>
      <c r="C27" t="s">
        <v>34</v>
      </c>
      <c r="D27">
        <v>-1</v>
      </c>
      <c r="G27" t="s">
        <v>121</v>
      </c>
    </row>
    <row r="28" spans="1:7" x14ac:dyDescent="0.45">
      <c r="A28" t="str">
        <f>ArcanaMaster[[#This Row],[名前]]</f>
        <v>死神</v>
      </c>
      <c r="B28" t="str">
        <f>IF(ArcanaMaster[[#This Row],[位置]]="Front", "正位置", "逆位置")</f>
        <v>正位置</v>
      </c>
      <c r="C28" t="s">
        <v>34</v>
      </c>
      <c r="D28">
        <v>-1</v>
      </c>
      <c r="G28" t="s">
        <v>35</v>
      </c>
    </row>
    <row r="29" spans="1:7" x14ac:dyDescent="0.45">
      <c r="A29" t="str">
        <f>ArcanaMaster[[#This Row],[名前]]</f>
        <v>死神</v>
      </c>
      <c r="B29" t="str">
        <f>IF(ArcanaMaster[[#This Row],[位置]]="Front", "正位置", "逆位置")</f>
        <v>逆位置</v>
      </c>
      <c r="C29" t="s">
        <v>94</v>
      </c>
      <c r="D29">
        <v>-1</v>
      </c>
      <c r="G29" t="s">
        <v>122</v>
      </c>
    </row>
    <row r="30" spans="1:7" x14ac:dyDescent="0.45">
      <c r="A30" t="str">
        <f>ArcanaMaster[[#This Row],[名前]]</f>
        <v>節制</v>
      </c>
      <c r="B30" t="str">
        <f>IF(ArcanaMaster[[#This Row],[位置]]="Front", "正位置", "逆位置")</f>
        <v>正位置</v>
      </c>
      <c r="C30" t="s">
        <v>34</v>
      </c>
      <c r="D30">
        <v>-1</v>
      </c>
      <c r="G30" t="s">
        <v>123</v>
      </c>
    </row>
    <row r="31" spans="1:7" x14ac:dyDescent="0.45">
      <c r="A31" t="str">
        <f>ArcanaMaster[[#This Row],[名前]]</f>
        <v>節制</v>
      </c>
      <c r="B31" t="str">
        <f>IF(ArcanaMaster[[#This Row],[位置]]="Front", "正位置", "逆位置")</f>
        <v>逆位置</v>
      </c>
      <c r="C31" t="s">
        <v>34</v>
      </c>
      <c r="D31">
        <v>-1</v>
      </c>
      <c r="G31" t="s">
        <v>124</v>
      </c>
    </row>
    <row r="32" spans="1:7" x14ac:dyDescent="0.45">
      <c r="A32" t="str">
        <f>ArcanaMaster[[#This Row],[名前]]</f>
        <v>悪魔</v>
      </c>
      <c r="B32" t="str">
        <f>IF(ArcanaMaster[[#This Row],[位置]]="Front", "正位置", "逆位置")</f>
        <v>正位置</v>
      </c>
      <c r="C32" t="s">
        <v>34</v>
      </c>
      <c r="D32">
        <v>-1</v>
      </c>
      <c r="G32" t="s">
        <v>35</v>
      </c>
    </row>
    <row r="33" spans="1:7" x14ac:dyDescent="0.45">
      <c r="A33" t="str">
        <f>ArcanaMaster[[#This Row],[名前]]</f>
        <v>悪魔</v>
      </c>
      <c r="B33" t="str">
        <f>IF(ArcanaMaster[[#This Row],[位置]]="Front", "正位置", "逆位置")</f>
        <v>逆位置</v>
      </c>
      <c r="C33" t="s">
        <v>33</v>
      </c>
      <c r="D33">
        <v>5</v>
      </c>
      <c r="G33" t="s">
        <v>125</v>
      </c>
    </row>
    <row r="34" spans="1:7" x14ac:dyDescent="0.45">
      <c r="A34" t="str">
        <f>ArcanaMaster[[#This Row],[名前]]</f>
        <v>塔</v>
      </c>
      <c r="B34" t="str">
        <f>IF(ArcanaMaster[[#This Row],[位置]]="Front", "正位置", "逆位置")</f>
        <v>正位置</v>
      </c>
      <c r="C34" t="s">
        <v>33</v>
      </c>
      <c r="D34">
        <v>90</v>
      </c>
      <c r="E34" t="s">
        <v>138</v>
      </c>
      <c r="G34" t="s">
        <v>126</v>
      </c>
    </row>
    <row r="35" spans="1:7" x14ac:dyDescent="0.45">
      <c r="A35" t="str">
        <f>ArcanaMaster[[#This Row],[名前]]</f>
        <v>塔</v>
      </c>
      <c r="B35" t="str">
        <f>IF(ArcanaMaster[[#This Row],[位置]]="Front", "正位置", "逆位置")</f>
        <v>逆位置</v>
      </c>
      <c r="C35" t="s">
        <v>34</v>
      </c>
      <c r="D35">
        <v>-1</v>
      </c>
      <c r="G35" t="s">
        <v>127</v>
      </c>
    </row>
    <row r="36" spans="1:7" x14ac:dyDescent="0.45">
      <c r="A36" t="str">
        <f>ArcanaMaster[[#This Row],[名前]]</f>
        <v>星</v>
      </c>
      <c r="B36" t="str">
        <f>IF(ArcanaMaster[[#This Row],[位置]]="Front", "正位置", "逆位置")</f>
        <v>正位置</v>
      </c>
      <c r="C36" t="s">
        <v>33</v>
      </c>
      <c r="D36">
        <v>50</v>
      </c>
      <c r="G36" t="s">
        <v>128</v>
      </c>
    </row>
    <row r="37" spans="1:7" x14ac:dyDescent="0.45">
      <c r="A37" t="str">
        <f>ArcanaMaster[[#This Row],[名前]]</f>
        <v>星</v>
      </c>
      <c r="B37" t="str">
        <f>IF(ArcanaMaster[[#This Row],[位置]]="Front", "正位置", "逆位置")</f>
        <v>逆位置</v>
      </c>
      <c r="C37" t="s">
        <v>33</v>
      </c>
      <c r="D37">
        <v>60</v>
      </c>
      <c r="G37" t="s">
        <v>129</v>
      </c>
    </row>
    <row r="38" spans="1:7" x14ac:dyDescent="0.45">
      <c r="A38" t="str">
        <f>ArcanaMaster[[#This Row],[名前]]</f>
        <v>月</v>
      </c>
      <c r="B38" t="str">
        <f>IF(ArcanaMaster[[#This Row],[位置]]="Front", "正位置", "逆位置")</f>
        <v>正位置</v>
      </c>
      <c r="C38" t="s">
        <v>34</v>
      </c>
      <c r="D38">
        <v>-1</v>
      </c>
      <c r="G38" t="s">
        <v>35</v>
      </c>
    </row>
    <row r="39" spans="1:7" x14ac:dyDescent="0.45">
      <c r="A39" t="str">
        <f>ArcanaMaster[[#This Row],[名前]]</f>
        <v>月</v>
      </c>
      <c r="B39" t="str">
        <f>IF(ArcanaMaster[[#This Row],[位置]]="Front", "正位置", "逆位置")</f>
        <v>逆位置</v>
      </c>
      <c r="C39" t="s">
        <v>34</v>
      </c>
      <c r="D39">
        <v>-1</v>
      </c>
      <c r="G39" t="s">
        <v>35</v>
      </c>
    </row>
    <row r="40" spans="1:7" x14ac:dyDescent="0.45">
      <c r="A40" t="str">
        <f>ArcanaMaster[[#This Row],[名前]]</f>
        <v>太陽</v>
      </c>
      <c r="B40" t="str">
        <f>IF(ArcanaMaster[[#This Row],[位置]]="Front", "正位置", "逆位置")</f>
        <v>正位置</v>
      </c>
      <c r="C40" t="s">
        <v>33</v>
      </c>
      <c r="D40">
        <v>45</v>
      </c>
      <c r="G40" t="s">
        <v>130</v>
      </c>
    </row>
    <row r="41" spans="1:7" x14ac:dyDescent="0.45">
      <c r="A41" t="str">
        <f>ArcanaMaster[[#This Row],[名前]]</f>
        <v>太陽</v>
      </c>
      <c r="B41" t="str">
        <f>IF(ArcanaMaster[[#This Row],[位置]]="Front", "正位置", "逆位置")</f>
        <v>逆位置</v>
      </c>
      <c r="C41" t="s">
        <v>33</v>
      </c>
      <c r="D41">
        <v>45</v>
      </c>
      <c r="G41" t="s">
        <v>131</v>
      </c>
    </row>
    <row r="42" spans="1:7" x14ac:dyDescent="0.45">
      <c r="A42" t="str">
        <f>ArcanaMaster[[#This Row],[名前]]</f>
        <v>審判</v>
      </c>
      <c r="B42" t="str">
        <f>IF(ArcanaMaster[[#This Row],[位置]]="Front", "正位置", "逆位置")</f>
        <v>正位置</v>
      </c>
      <c r="C42" t="s">
        <v>34</v>
      </c>
      <c r="D42">
        <v>-1</v>
      </c>
      <c r="G42" t="s">
        <v>35</v>
      </c>
    </row>
    <row r="43" spans="1:7" x14ac:dyDescent="0.45">
      <c r="A43" t="str">
        <f>ArcanaMaster[[#This Row],[名前]]</f>
        <v>審判</v>
      </c>
      <c r="B43" t="str">
        <f>IF(ArcanaMaster[[#This Row],[位置]]="Front", "正位置", "逆位置")</f>
        <v>逆位置</v>
      </c>
      <c r="C43" t="s">
        <v>33</v>
      </c>
      <c r="D43">
        <v>45</v>
      </c>
      <c r="E43" t="s">
        <v>139</v>
      </c>
      <c r="G43" t="s">
        <v>132</v>
      </c>
    </row>
    <row r="44" spans="1:7" x14ac:dyDescent="0.45">
      <c r="A44" t="str">
        <f>ArcanaMaster[[#This Row],[名前]]</f>
        <v>世界</v>
      </c>
      <c r="B44" t="str">
        <f>IF(ArcanaMaster[[#This Row],[位置]]="Front", "正位置", "逆位置")</f>
        <v>正位置</v>
      </c>
      <c r="C44" t="s">
        <v>34</v>
      </c>
      <c r="D44">
        <v>-1</v>
      </c>
      <c r="G44" t="s">
        <v>133</v>
      </c>
    </row>
    <row r="45" spans="1:7" x14ac:dyDescent="0.45">
      <c r="A45" t="str">
        <f>ArcanaMaster[[#This Row],[名前]]</f>
        <v>世界</v>
      </c>
      <c r="B45" t="str">
        <f>IF(ArcanaMaster[[#This Row],[位置]]="Front", "正位置", "逆位置")</f>
        <v>逆位置</v>
      </c>
      <c r="C45" t="s">
        <v>34</v>
      </c>
      <c r="D45">
        <v>-1</v>
      </c>
      <c r="G45" t="s">
        <v>134</v>
      </c>
    </row>
  </sheetData>
  <phoneticPr fontId="1"/>
  <dataValidations count="2">
    <dataValidation type="decimal" allowBlank="1" showInputMessage="1" showErrorMessage="1" sqref="D2:D45" xr:uid="{3D03E15D-E7ED-4977-BF66-D8407C5381AF}">
      <formula1>-1</formula1>
      <formula2>300</formula2>
    </dataValidation>
    <dataValidation type="textLength" allowBlank="1" showInputMessage="1" showErrorMessage="1" sqref="G2:G45" xr:uid="{EE204BD4-67A7-473F-935A-110779F70780}">
      <formula1>0</formula1>
      <formula2>100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35A1E1-DFB5-44EE-B23D-E3135B8EDC4B}">
          <x14:formula1>
            <xm:f>選択用フィールド!$A$2:$A$6</xm:f>
          </x14:formula1>
          <xm:sqref>C2:C45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0BEF59-2E5F-4B35-AEF5-929485A117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アルカナ名</vt:lpstr>
      <vt:lpstr>ArcanaData</vt:lpstr>
      <vt:lpstr>選択用フィールド</vt:lpstr>
      <vt:lpstr>InputFile(Arcana)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2026-07-15T04:43:34Z</dcterms:created>
  <dcterms:modified xsi:type="dcterms:W3CDTF">2026-07-17T01:45:30Z</dcterms:modified>
</cp:coreProperties>
</file>