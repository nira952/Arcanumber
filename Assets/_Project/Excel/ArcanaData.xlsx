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FDFB8AA1-34F3-4154-910C-E9FB8FDE6C14}" xr6:coauthVersionLast="36" xr6:coauthVersionMax="47" xr10:uidLastSave="{00000000-0000-0000-0000-000000000000}"/>
  <bookViews>
    <workbookView xWindow="0" yWindow="0" windowWidth="23040" windowHeight="8124" activeTab="1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3" i="3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C38" i="2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</calcChain>
</file>

<file path=xl/sharedStrings.xml><?xml version="1.0" encoding="utf-8"?>
<sst xmlns="http://schemas.openxmlformats.org/spreadsheetml/2006/main" count="255" uniqueCount="94">
  <si>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</si>
  <si>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</si>
  <si>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</si>
  <si>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</si>
  <si>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</si>
  <si>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</si>
  <si>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</si>
  <si>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</si>
  <si>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</si>
  <si>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</si>
  <si>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</si>
  <si>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</si>
  <si>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</si>
  <si>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</si>
  <si>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</si>
  <si>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</si>
  <si>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</si>
  <si>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</si>
  <si>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</si>
  <si>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</si>
  <si>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</si>
  <si>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</si>
  <si>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</si>
  <si>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</si>
  <si>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</si>
  <si>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</si>
  <si>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</si>
  <si>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</si>
  <si>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</si>
  <si>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</si>
  <si>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</si>
  <si>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</si>
  <si>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</si>
  <si>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スキル発動時</t>
    <rPh sb="3" eb="6">
      <t>ハツドウジ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</si>
  <si>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</si>
  <si>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</si>
  <si>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skillArcana</t>
    <phoneticPr fontId="1"/>
  </si>
  <si>
    <t>commandArcana</t>
    <phoneticPr fontId="1"/>
  </si>
  <si>
    <t>startArcana</t>
    <phoneticPr fontId="1"/>
  </si>
  <si>
    <t>HPを1.3倍にしてくれるカード</t>
    <rPh sb="6" eb="7">
      <t>バイ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</si>
  <si>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</si>
  <si>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</si>
  <si>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</si>
  <si>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</si>
  <si>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</si>
  <si>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</si>
  <si>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</si>
  <si>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</si>
  <si>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</si>
  <si>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</si>
  <si>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</si>
  <si>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</si>
  <si>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</si>
  <si>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</si>
  <si>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</si>
  <si>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</si>
  <si>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</si>
  <si>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</si>
  <si>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</si>
  <si>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</si>
  <si>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</si>
  <si>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</si>
  <si>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</si>
  <si>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</si>
  <si>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</si>
  <si>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</si>
  <si>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</si>
  <si>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</si>
  <si>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</si>
  <si>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</si>
  <si>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</si>
  <si>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</si>
  <si>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</si>
  <si>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</si>
  <si>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</si>
  <si>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</si>
  <si>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</si>
  <si>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</si>
  <si>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</si>
  <si>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</si>
  <si>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</si>
  <si>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</si>
  <si>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</si>
  <si>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</si>
  <si>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</si>
  <si>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</si>
  <si>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</si>
  <si>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</si>
  <si>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Effect/ArcanaSkill</t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</si>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</sst>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I45">
  <autoFilter ref="A1:I45" xr:uid="{48DDBA56-844D-4376-B3AF-39BFA95D20A0}"/>
  <tableColumns count="9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1">
      <calculatedColumnFormula>VLOOKUP(ArcanaMaster[[#This Row],[位置]],選択用フィールド!$K$2:$L$3,2,FALSE)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7">
      <calculatedColumnFormula>VLOOKUP(InputData[[#This Row],[発動条件]],選択用フィールド!$A$2:$B$4,2,FALSE)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6" xr3:uid="{55BA9E8F-6644-465A-AB88-421F37320DF0}" name="エフェクト" dataDxfId="5">
      <calculatedColumnFormula>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0">
      <calculatedColumnFormula>"Arcana"&amp;TEXT(A2, "00")&amp;VLOOKUP(ArcanaData[[#This Row],[名前]],選択用フィールド!$D$2:$E$23,2,FALSE)&amp;ArcanaMaster[[#This Row],[位置]]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G45" totalsRowShown="0">
  <autoFilter ref="A1:G45" xr:uid="{E1D23D5A-3AD7-47D8-AA45-95C0A75F6512}"/>
  <tableColumns count="7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2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H4" sqref="H4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</row>
    <row r="3" spans="1:4" x14ac:dyDescent="0.45">
      <c r="A3">
        <v>0</v>
      </c>
      <c r="B3" t="s">
        <v>9</v>
      </c>
      <c r="C3" t="s">
        <v>10</v>
      </c>
    </row>
    <row r="4" spans="1:4" x14ac:dyDescent="0.45">
      <c r="A4">
        <v>1</v>
      </c>
      <c r="B4" t="s">
        <v>8</v>
      </c>
      <c r="C4" t="s">
        <v>11</v>
      </c>
    </row>
    <row r="5" spans="1:4" x14ac:dyDescent="0.45">
      <c r="A5">
        <v>1</v>
      </c>
      <c r="B5" t="s">
        <v>9</v>
      </c>
      <c r="C5" t="s">
        <v>11</v>
      </c>
    </row>
    <row r="6" spans="1:4" x14ac:dyDescent="0.45">
      <c r="A6">
        <v>2</v>
      </c>
      <c r="B6" t="s">
        <v>8</v>
      </c>
      <c r="C6" t="s">
        <v>12</v>
      </c>
    </row>
    <row r="7" spans="1:4" x14ac:dyDescent="0.45">
      <c r="A7">
        <v>2</v>
      </c>
      <c r="B7" t="s">
        <v>9</v>
      </c>
      <c r="C7" t="s">
        <v>12</v>
      </c>
    </row>
    <row r="8" spans="1:4" x14ac:dyDescent="0.45">
      <c r="A8">
        <v>3</v>
      </c>
      <c r="B8" t="s">
        <v>8</v>
      </c>
      <c r="C8" t="s">
        <v>13</v>
      </c>
    </row>
    <row r="9" spans="1:4" x14ac:dyDescent="0.45">
      <c r="A9">
        <v>3</v>
      </c>
      <c r="B9" t="s">
        <v>9</v>
      </c>
      <c r="C9" t="s">
        <v>13</v>
      </c>
    </row>
    <row r="10" spans="1:4" x14ac:dyDescent="0.45">
      <c r="A10">
        <v>4</v>
      </c>
      <c r="B10" t="s">
        <v>8</v>
      </c>
      <c r="C10" t="s">
        <v>14</v>
      </c>
    </row>
    <row r="11" spans="1:4" x14ac:dyDescent="0.45">
      <c r="A11">
        <v>4</v>
      </c>
      <c r="B11" t="s">
        <v>9</v>
      </c>
      <c r="C11" t="s">
        <v>14</v>
      </c>
    </row>
    <row r="12" spans="1:4" x14ac:dyDescent="0.45">
      <c r="A12">
        <v>5</v>
      </c>
      <c r="B12" t="s">
        <v>8</v>
      </c>
      <c r="C12" t="s">
        <v>15</v>
      </c>
    </row>
    <row r="13" spans="1:4" x14ac:dyDescent="0.45">
      <c r="A13">
        <v>5</v>
      </c>
      <c r="B13" t="s">
        <v>9</v>
      </c>
      <c r="C13" t="s">
        <v>15</v>
      </c>
    </row>
    <row r="14" spans="1:4" x14ac:dyDescent="0.45">
      <c r="A14">
        <v>6</v>
      </c>
      <c r="B14" t="s">
        <v>8</v>
      </c>
      <c r="C14" t="s">
        <v>16</v>
      </c>
    </row>
    <row r="15" spans="1:4" x14ac:dyDescent="0.45">
      <c r="A15">
        <v>6</v>
      </c>
      <c r="B15" t="s">
        <v>9</v>
      </c>
      <c r="C15" t="s">
        <v>16</v>
      </c>
    </row>
    <row r="16" spans="1:4" x14ac:dyDescent="0.45">
      <c r="A16">
        <v>7</v>
      </c>
      <c r="B16" t="s">
        <v>8</v>
      </c>
      <c r="C16" t="s">
        <v>17</v>
      </c>
    </row>
    <row r="17" spans="1:3" x14ac:dyDescent="0.45">
      <c r="A17">
        <v>7</v>
      </c>
      <c r="B17" t="s">
        <v>9</v>
      </c>
      <c r="C17" t="s">
        <v>17</v>
      </c>
    </row>
    <row r="18" spans="1:3" x14ac:dyDescent="0.45">
      <c r="A18">
        <v>8</v>
      </c>
      <c r="B18" t="s">
        <v>8</v>
      </c>
      <c r="C18" t="s">
        <v>18</v>
      </c>
    </row>
    <row r="19" spans="1:3" x14ac:dyDescent="0.45">
      <c r="A19">
        <v>8</v>
      </c>
      <c r="B19" t="s">
        <v>9</v>
      </c>
      <c r="C19" t="s">
        <v>18</v>
      </c>
    </row>
    <row r="20" spans="1:3" x14ac:dyDescent="0.45">
      <c r="A20">
        <v>9</v>
      </c>
      <c r="B20" t="s">
        <v>8</v>
      </c>
      <c r="C20" t="s">
        <v>19</v>
      </c>
    </row>
    <row r="21" spans="1:3" x14ac:dyDescent="0.45">
      <c r="A21">
        <v>9</v>
      </c>
      <c r="B21" t="s">
        <v>9</v>
      </c>
      <c r="C21" t="s">
        <v>19</v>
      </c>
    </row>
    <row r="22" spans="1:3" x14ac:dyDescent="0.45">
      <c r="A22">
        <v>10</v>
      </c>
      <c r="B22" t="s">
        <v>8</v>
      </c>
      <c r="C22" t="s">
        <v>20</v>
      </c>
    </row>
    <row r="23" spans="1:3" x14ac:dyDescent="0.45">
      <c r="A23">
        <v>10</v>
      </c>
      <c r="B23" t="s">
        <v>9</v>
      </c>
      <c r="C23" t="s">
        <v>20</v>
      </c>
    </row>
    <row r="24" spans="1:3" x14ac:dyDescent="0.45">
      <c r="A24">
        <v>11</v>
      </c>
      <c r="B24" t="s">
        <v>8</v>
      </c>
      <c r="C24" t="s">
        <v>21</v>
      </c>
    </row>
    <row r="25" spans="1:3" x14ac:dyDescent="0.45">
      <c r="A25">
        <v>11</v>
      </c>
      <c r="B25" t="s">
        <v>9</v>
      </c>
      <c r="C25" t="s">
        <v>21</v>
      </c>
    </row>
    <row r="26" spans="1:3" x14ac:dyDescent="0.45">
      <c r="A26">
        <v>12</v>
      </c>
      <c r="B26" t="s">
        <v>8</v>
      </c>
      <c r="C26" t="s">
        <v>22</v>
      </c>
    </row>
    <row r="27" spans="1:3" x14ac:dyDescent="0.45">
      <c r="A27">
        <v>12</v>
      </c>
      <c r="B27" t="s">
        <v>9</v>
      </c>
      <c r="C27" t="s">
        <v>22</v>
      </c>
    </row>
    <row r="28" spans="1:3" x14ac:dyDescent="0.45">
      <c r="A28">
        <v>13</v>
      </c>
      <c r="B28" t="s">
        <v>8</v>
      </c>
      <c r="C28" t="s">
        <v>23</v>
      </c>
    </row>
    <row r="29" spans="1:3" x14ac:dyDescent="0.45">
      <c r="A29">
        <v>13</v>
      </c>
      <c r="B29" t="s">
        <v>9</v>
      </c>
      <c r="C29" t="s">
        <v>23</v>
      </c>
    </row>
    <row r="30" spans="1:3" x14ac:dyDescent="0.45">
      <c r="A30">
        <v>14</v>
      </c>
      <c r="B30" t="s">
        <v>8</v>
      </c>
      <c r="C30" t="s">
        <v>24</v>
      </c>
    </row>
    <row r="31" spans="1:3" x14ac:dyDescent="0.45">
      <c r="A31">
        <v>14</v>
      </c>
      <c r="B31" t="s">
        <v>9</v>
      </c>
      <c r="C31" t="s">
        <v>24</v>
      </c>
    </row>
    <row r="32" spans="1:3" x14ac:dyDescent="0.45">
      <c r="A32">
        <v>15</v>
      </c>
      <c r="B32" t="s">
        <v>8</v>
      </c>
      <c r="C32" t="s">
        <v>25</v>
      </c>
    </row>
    <row r="33" spans="1:3" x14ac:dyDescent="0.45">
      <c r="A33">
        <v>15</v>
      </c>
      <c r="B33" t="s">
        <v>9</v>
      </c>
      <c r="C33" t="s">
        <v>25</v>
      </c>
    </row>
    <row r="34" spans="1:3" x14ac:dyDescent="0.45">
      <c r="A34">
        <v>16</v>
      </c>
      <c r="B34" t="s">
        <v>8</v>
      </c>
      <c r="C34" t="s">
        <v>27</v>
      </c>
    </row>
    <row r="35" spans="1:3" x14ac:dyDescent="0.45">
      <c r="A35">
        <v>16</v>
      </c>
      <c r="B35" t="s">
        <v>9</v>
      </c>
      <c r="C35" t="s">
        <v>27</v>
      </c>
    </row>
    <row r="36" spans="1:3" x14ac:dyDescent="0.45">
      <c r="A36">
        <v>17</v>
      </c>
      <c r="B36" t="s">
        <v>8</v>
      </c>
      <c r="C36" t="s">
        <v>26</v>
      </c>
    </row>
    <row r="37" spans="1:3" x14ac:dyDescent="0.45">
      <c r="A37">
        <v>17</v>
      </c>
      <c r="B37" t="s">
        <v>9</v>
      </c>
      <c r="C37" t="s">
        <v>26</v>
      </c>
    </row>
    <row r="38" spans="1:3" x14ac:dyDescent="0.45">
      <c r="A38">
        <v>18</v>
      </c>
      <c r="B38" t="s">
        <v>8</v>
      </c>
      <c r="C38" t="s">
        <v>28</v>
      </c>
    </row>
    <row r="39" spans="1:3" x14ac:dyDescent="0.45">
      <c r="A39">
        <v>18</v>
      </c>
      <c r="B39" t="s">
        <v>9</v>
      </c>
      <c r="C39" t="s">
        <v>28</v>
      </c>
    </row>
    <row r="40" spans="1:3" x14ac:dyDescent="0.45">
      <c r="A40">
        <v>19</v>
      </c>
      <c r="B40" t="s">
        <v>8</v>
      </c>
      <c r="C40" t="s">
        <v>29</v>
      </c>
    </row>
    <row r="41" spans="1:3" x14ac:dyDescent="0.45">
      <c r="A41">
        <v>19</v>
      </c>
      <c r="B41" t="s">
        <v>9</v>
      </c>
      <c r="C41" t="s">
        <v>29</v>
      </c>
    </row>
    <row r="42" spans="1:3" x14ac:dyDescent="0.45">
      <c r="A42">
        <v>20</v>
      </c>
      <c r="B42" t="s">
        <v>8</v>
      </c>
      <c r="C42" t="s">
        <v>30</v>
      </c>
    </row>
    <row r="43" spans="1:3" x14ac:dyDescent="0.45">
      <c r="A43">
        <v>20</v>
      </c>
      <c r="B43" t="s">
        <v>9</v>
      </c>
      <c r="C43" t="s">
        <v>30</v>
      </c>
    </row>
    <row r="44" spans="1:3" x14ac:dyDescent="0.45">
      <c r="A44">
        <v>21</v>
      </c>
      <c r="B44" t="s">
        <v>8</v>
      </c>
      <c r="C44" t="s">
        <v>31</v>
      </c>
    </row>
    <row r="45" spans="1:3" x14ac:dyDescent="0.45">
      <c r="A45">
        <v>21</v>
      </c>
      <c r="B45" t="s">
        <v>9</v>
      </c>
      <c r="C45" t="s">
        <v>31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I45"/>
  <sheetViews>
    <sheetView tabSelected="1" workbookViewId="0">
      <selection activeCell="M16" sqref="M1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5" width="13.19921875" customWidth="1"/>
    <col min="6" max="6" width="12.19921875" bestFit="1" customWidth="1"/>
    <col min="7" max="7" width="10.19921875" bestFit="1" customWidth="1"/>
    <col min="8" max="8" width="28.69921875" customWidth="1"/>
    <col min="9" max="9" width="28.59765625" bestFit="1" customWidth="1"/>
  </cols>
  <sheetData>
    <row r="1" spans="1:9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3</v>
      </c>
      <c r="I1" t="s">
        <v>86</v>
      </c>
    </row>
    <row r="2" spans="1:9" x14ac:dyDescent="0.45">
      <c r="A2">
        <f>INDEX(ArcanaMaster[ID], ROW()-1)</f>
        <v>0</v>
      </c>
      <c r="B2">
        <f>VLOOKUP(ArcanaMaster[[#This Row],[位置]],選択用フィールド!$K$2:$L$3,2,FALSE)</f>
        <v>1</v>
      </c>
      <c r="C2" t="str">
        <f>ArcanaMaster[[#This Row],[名前]]</f>
        <v>愚者</v>
      </c>
      <c r="D2" t="str">
        <f>VLOOKUP(InputData[[#This Row],[発動条件]],選択用フィールド!$A$2:$B$4,2,FALSE)</f>
        <v>skillArcana</v>
      </c>
      <c r="E2">
        <f>InputData[[#This Row],[クールタイム]]</f>
        <v>-1</v>
      </c>
      <c r="F2">
        <f>InputData[[#This Row],[エフェクト]]</f>
        <v>0</v>
      </c>
      <c r="G2">
        <f>InputData[[#This Row],[効果音]]</f>
        <v>0</v>
      </c>
      <c r="H2" t="str">
        <f>InputData[[#This Row],[説明]]</f>
        <v>HPを1.3倍にしてくれるカード</v>
      </c>
      <c r="I2" s="1" t="str">
        <f>"Arcana"&amp;TEXT(A2, "00")&amp;VLOOKUP(ArcanaData[[#This Row],[名前]],選択用フィールド!$D$2:$E$23,2,FALSE)&amp;ArcanaMaster[[#This Row],[位置]]</f>
        <v>Arcana00FoolFront</v>
      </c>
    </row>
    <row r="3" spans="1:9" x14ac:dyDescent="0.45">
      <c r="A3">
        <f>INDEX(ArcanaMaster[ID], ROW()-1)</f>
        <v>0</v>
      </c>
      <c r="B3">
        <f>VLOOKUP(ArcanaMaster[[#This Row],[位置]],選択用フィールド!$K$2:$L$3,2,FALSE)</f>
        <v>-1</v>
      </c>
      <c r="C3" t="str">
        <f>ArcanaMaster[[#This Row],[名前]]</f>
        <v>愚者</v>
      </c>
      <c r="D3" t="str">
        <f>VLOOKUP(InputData[[#This Row],[発動条件]],選択用フィールド!$A$2:$B$4,2,FALSE)</f>
        <v>skillArcana</v>
      </c>
      <c r="E3">
        <f>InputData[[#This Row],[クールタイム]]</f>
        <v>-1</v>
      </c>
      <c r="F3">
        <f>InputData[[#This Row],[エフェクト]]</f>
        <v>0</v>
      </c>
      <c r="G3">
        <f>InputData[[#This Row],[効果音]]</f>
        <v>0</v>
      </c>
      <c r="H3" t="str">
        <f>InputData[[#This Row],[説明]]</f>
        <v>#</v>
      </c>
      <c r="I3" s="1" t="str">
        <f>"Arcana"&amp;TEXT(A3, "00")&amp;VLOOKUP(ArcanaData[[#This Row],[名前]],選択用フィールド!$D$2:$E$23,2,FALSE)&amp;ArcanaMaster[[#This Row],[位置]]</f>
        <v>Arcana00FoolBack</v>
      </c>
    </row>
    <row r="4" spans="1:9" x14ac:dyDescent="0.45">
      <c r="A4">
        <f>INDEX(ArcanaMaster[ID], ROW()-1)</f>
        <v>1</v>
      </c>
      <c r="B4">
        <f>VLOOKUP(ArcanaMaster[[#This Row],[位置]],選択用フィールド!$K$2:$L$3,2,FALSE)</f>
        <v>1</v>
      </c>
      <c r="C4" t="str">
        <f>ArcanaMaster[[#This Row],[名前]]</f>
        <v>魔術師</v>
      </c>
      <c r="D4" t="str">
        <f>VLOOKUP(InputData[[#This Row],[発動条件]],選択用フィールド!$A$2:$B$4,2,FALSE)</f>
        <v>skillArcana</v>
      </c>
      <c r="E4">
        <f>InputData[[#This Row],[クールタイム]]</f>
        <v>-1</v>
      </c>
      <c r="F4">
        <f>InputData[[#This Row],[エフェクト]]</f>
        <v>0</v>
      </c>
      <c r="G4">
        <f>InputData[[#This Row],[効果音]]</f>
        <v>0</v>
      </c>
      <c r="H4" t="str">
        <f>InputData[[#This Row],[説明]]</f>
        <v>#</v>
      </c>
      <c r="I4" s="1" t="str">
        <f>"Arcana"&amp;TEXT(A4, "00")&amp;VLOOKUP(ArcanaData[[#This Row],[名前]],選択用フィールド!$D$2:$E$23,2,FALSE)&amp;ArcanaMaster[[#This Row],[位置]]</f>
        <v>Arcana01MagicianFront</v>
      </c>
    </row>
    <row r="5" spans="1:9" x14ac:dyDescent="0.45">
      <c r="A5">
        <f>INDEX(ArcanaMaster[ID], ROW()-1)</f>
        <v>1</v>
      </c>
      <c r="B5">
        <f>VLOOKUP(ArcanaMaster[[#This Row],[位置]],選択用フィールド!$K$2:$L$3,2,FALSE)</f>
        <v>-1</v>
      </c>
      <c r="C5" t="str">
        <f>ArcanaMaster[[#This Row],[名前]]</f>
        <v>魔術師</v>
      </c>
      <c r="D5" t="str">
        <f>VLOOKUP(InputData[[#This Row],[発動条件]],選択用フィールド!$A$2:$B$4,2,FALSE)</f>
        <v>skillArcana</v>
      </c>
      <c r="E5">
        <f>InputData[[#This Row],[クールタイム]]</f>
        <v>-1</v>
      </c>
      <c r="F5">
        <f>InputData[[#This Row],[エフェクト]]</f>
        <v>0</v>
      </c>
      <c r="G5">
        <f>InputData[[#This Row],[効果音]]</f>
        <v>0</v>
      </c>
      <c r="H5" t="str">
        <f>InputData[[#This Row],[説明]]</f>
        <v>#</v>
      </c>
      <c r="I5" s="1" t="str">
        <f>"Arcana"&amp;TEXT(A5, "00")&amp;VLOOKUP(ArcanaData[[#This Row],[名前]],選択用フィールド!$D$2:$E$23,2,FALSE)&amp;ArcanaMaster[[#This Row],[位置]]</f>
        <v>Arcana01MagicianBack</v>
      </c>
    </row>
    <row r="6" spans="1:9" x14ac:dyDescent="0.45">
      <c r="A6">
        <f>INDEX(ArcanaMaster[ID], ROW()-1)</f>
        <v>2</v>
      </c>
      <c r="B6">
        <f>VLOOKUP(ArcanaMaster[[#This Row],[位置]],選択用フィールド!$K$2:$L$3,2,FALSE)</f>
        <v>1</v>
      </c>
      <c r="C6" t="str">
        <f>ArcanaMaster[[#This Row],[名前]]</f>
        <v>女教皇</v>
      </c>
      <c r="D6" t="str">
        <f>VLOOKUP(InputData[[#This Row],[発動条件]],選択用フィールド!$A$2:$B$4,2,FALSE)</f>
        <v>skillArcana</v>
      </c>
      <c r="E6">
        <f>InputData[[#This Row],[クールタイム]]</f>
        <v>-1</v>
      </c>
      <c r="F6">
        <f>InputData[[#This Row],[エフェクト]]</f>
        <v>0</v>
      </c>
      <c r="G6">
        <f>InputData[[#This Row],[効果音]]</f>
        <v>0</v>
      </c>
      <c r="H6" t="str">
        <f>InputData[[#This Row],[説明]]</f>
        <v>#</v>
      </c>
      <c r="I6" s="1" t="str">
        <f>"Arcana"&amp;TEXT(A6, "00")&amp;VLOOKUP(ArcanaData[[#This Row],[名前]],選択用フィールド!$D$2:$E$23,2,FALSE)&amp;ArcanaMaster[[#This Row],[位置]]</f>
        <v>Arcana02HighPriestessFront</v>
      </c>
    </row>
    <row r="7" spans="1:9" x14ac:dyDescent="0.45">
      <c r="A7">
        <f>INDEX(ArcanaMaster[ID], ROW()-1)</f>
        <v>2</v>
      </c>
      <c r="B7">
        <f>VLOOKUP(ArcanaMaster[[#This Row],[位置]],選択用フィールド!$K$2:$L$3,2,FALSE)</f>
        <v>-1</v>
      </c>
      <c r="C7" t="str">
        <f>ArcanaMaster[[#This Row],[名前]]</f>
        <v>女教皇</v>
      </c>
      <c r="D7" t="str">
        <f>VLOOKUP(InputData[[#This Row],[発動条件]],選択用フィールド!$A$2:$B$4,2,FALSE)</f>
        <v>skillArcana</v>
      </c>
      <c r="E7">
        <f>InputData[[#This Row],[クールタイム]]</f>
        <v>-1</v>
      </c>
      <c r="F7">
        <f>InputData[[#This Row],[エフェクト]]</f>
        <v>0</v>
      </c>
      <c r="G7">
        <f>InputData[[#This Row],[効果音]]</f>
        <v>0</v>
      </c>
      <c r="H7" t="str">
        <f>InputData[[#This Row],[説明]]</f>
        <v>#</v>
      </c>
      <c r="I7" s="1" t="str">
        <f>"Arcana"&amp;TEXT(A7, "00")&amp;VLOOKUP(ArcanaData[[#This Row],[名前]],選択用フィールド!$D$2:$E$23,2,FALSE)&amp;ArcanaMaster[[#This Row],[位置]]</f>
        <v>Arcana02HighPriestessBack</v>
      </c>
    </row>
    <row r="8" spans="1:9" x14ac:dyDescent="0.45">
      <c r="A8">
        <f>INDEX(ArcanaMaster[ID], ROW()-1)</f>
        <v>3</v>
      </c>
      <c r="B8">
        <f>VLOOKUP(ArcanaMaster[[#This Row],[位置]],選択用フィールド!$K$2:$L$3,2,FALSE)</f>
        <v>1</v>
      </c>
      <c r="C8" t="str">
        <f>ArcanaMaster[[#This Row],[名前]]</f>
        <v>女帝</v>
      </c>
      <c r="D8" t="str">
        <f>VLOOKUP(InputData[[#This Row],[発動条件]],選択用フィールド!$A$2:$B$4,2,FALSE)</f>
        <v>skillArcana</v>
      </c>
      <c r="E8">
        <f>InputData[[#This Row],[クールタイム]]</f>
        <v>-1</v>
      </c>
      <c r="F8">
        <f>InputData[[#This Row],[エフェクト]]</f>
        <v>0</v>
      </c>
      <c r="G8">
        <f>InputData[[#This Row],[効果音]]</f>
        <v>0</v>
      </c>
      <c r="H8" t="str">
        <f>InputData[[#This Row],[説明]]</f>
        <v>#</v>
      </c>
      <c r="I8" s="1" t="str">
        <f>"Arcana"&amp;TEXT(A8, "00")&amp;VLOOKUP(ArcanaData[[#This Row],[名前]],選択用フィールド!$D$2:$E$23,2,FALSE)&amp;ArcanaMaster[[#This Row],[位置]]</f>
        <v>Arcana03EmpressFront</v>
      </c>
    </row>
    <row r="9" spans="1:9" x14ac:dyDescent="0.45">
      <c r="A9">
        <f>INDEX(ArcanaMaster[ID], ROW()-1)</f>
        <v>3</v>
      </c>
      <c r="B9">
        <f>VLOOKUP(ArcanaMaster[[#This Row],[位置]],選択用フィールド!$K$2:$L$3,2,FALSE)</f>
        <v>-1</v>
      </c>
      <c r="C9" t="str">
        <f>ArcanaMaster[[#This Row],[名前]]</f>
        <v>女帝</v>
      </c>
      <c r="D9" t="str">
        <f>VLOOKUP(InputData[[#This Row],[発動条件]],選択用フィールド!$A$2:$B$4,2,FALSE)</f>
        <v>skillArcana</v>
      </c>
      <c r="E9">
        <f>InputData[[#This Row],[クールタイム]]</f>
        <v>-1</v>
      </c>
      <c r="F9">
        <f>InputData[[#This Row],[エフェクト]]</f>
        <v>0</v>
      </c>
      <c r="G9">
        <f>InputData[[#This Row],[効果音]]</f>
        <v>0</v>
      </c>
      <c r="H9" t="str">
        <f>InputData[[#This Row],[説明]]</f>
        <v>#</v>
      </c>
      <c r="I9" s="1" t="str">
        <f>"Arcana"&amp;TEXT(A9, "00")&amp;VLOOKUP(ArcanaData[[#This Row],[名前]],選択用フィールド!$D$2:$E$23,2,FALSE)&amp;ArcanaMaster[[#This Row],[位置]]</f>
        <v>Arcana03EmpressBack</v>
      </c>
    </row>
    <row r="10" spans="1:9" x14ac:dyDescent="0.45">
      <c r="A10">
        <f>INDEX(ArcanaMaster[ID], ROW()-1)</f>
        <v>4</v>
      </c>
      <c r="B10">
        <f>VLOOKUP(ArcanaMaster[[#This Row],[位置]],選択用フィールド!$K$2:$L$3,2,FALSE)</f>
        <v>1</v>
      </c>
      <c r="C10" t="str">
        <f>ArcanaMaster[[#This Row],[名前]]</f>
        <v>皇帝</v>
      </c>
      <c r="D10" t="str">
        <f>VLOOKUP(InputData[[#This Row],[発動条件]],選択用フィールド!$A$2:$B$4,2,FALSE)</f>
        <v>skillArcana</v>
      </c>
      <c r="E10">
        <f>InputData[[#This Row],[クールタイム]]</f>
        <v>-1</v>
      </c>
      <c r="F10">
        <f>InputData[[#This Row],[エフェクト]]</f>
        <v>0</v>
      </c>
      <c r="G10">
        <f>InputData[[#This Row],[効果音]]</f>
        <v>0</v>
      </c>
      <c r="H10" t="str">
        <f>InputData[[#This Row],[説明]]</f>
        <v>#</v>
      </c>
      <c r="I10" s="1" t="str">
        <f>"Arcana"&amp;TEXT(A10, "00")&amp;VLOOKUP(ArcanaData[[#This Row],[名前]],選択用フィールド!$D$2:$E$23,2,FALSE)&amp;ArcanaMaster[[#This Row],[位置]]</f>
        <v>Arcana04EmperorFront</v>
      </c>
    </row>
    <row r="11" spans="1:9" x14ac:dyDescent="0.45">
      <c r="A11">
        <f>INDEX(ArcanaMaster[ID], ROW()-1)</f>
        <v>4</v>
      </c>
      <c r="B11">
        <f>VLOOKUP(ArcanaMaster[[#This Row],[位置]],選択用フィールド!$K$2:$L$3,2,FALSE)</f>
        <v>-1</v>
      </c>
      <c r="C11" t="str">
        <f>ArcanaMaster[[#This Row],[名前]]</f>
        <v>皇帝</v>
      </c>
      <c r="D11" t="str">
        <f>VLOOKUP(InputData[[#This Row],[発動条件]],選択用フィールド!$A$2:$B$4,2,FALSE)</f>
        <v>skillArcana</v>
      </c>
      <c r="E11">
        <f>InputData[[#This Row],[クールタイム]]</f>
        <v>-1</v>
      </c>
      <c r="F11">
        <f>InputData[[#This Row],[エフェクト]]</f>
        <v>0</v>
      </c>
      <c r="G11">
        <f>InputData[[#This Row],[効果音]]</f>
        <v>0</v>
      </c>
      <c r="H11" t="str">
        <f>InputData[[#This Row],[説明]]</f>
        <v>#</v>
      </c>
      <c r="I11" s="1" t="str">
        <f>"Arcana"&amp;TEXT(A11, "00")&amp;VLOOKUP(ArcanaData[[#This Row],[名前]],選択用フィールド!$D$2:$E$23,2,FALSE)&amp;ArcanaMaster[[#This Row],[位置]]</f>
        <v>Arcana04EmperorBack</v>
      </c>
    </row>
    <row r="12" spans="1:9" x14ac:dyDescent="0.45">
      <c r="A12">
        <f>INDEX(ArcanaMaster[ID], ROW()-1)</f>
        <v>5</v>
      </c>
      <c r="B12">
        <f>VLOOKUP(ArcanaMaster[[#This Row],[位置]],選択用フィールド!$K$2:$L$3,2,FALSE)</f>
        <v>1</v>
      </c>
      <c r="C12" t="str">
        <f>ArcanaMaster[[#This Row],[名前]]</f>
        <v>教皇</v>
      </c>
      <c r="D12" t="str">
        <f>VLOOKUP(InputData[[#This Row],[発動条件]],選択用フィールド!$A$2:$B$4,2,FALSE)</f>
        <v>skillArcana</v>
      </c>
      <c r="E12">
        <f>InputData[[#This Row],[クールタイム]]</f>
        <v>-1</v>
      </c>
      <c r="F12">
        <f>InputData[[#This Row],[エフェクト]]</f>
        <v>0</v>
      </c>
      <c r="G12">
        <f>InputData[[#This Row],[効果音]]</f>
        <v>0</v>
      </c>
      <c r="H12" t="str">
        <f>InputData[[#This Row],[説明]]</f>
        <v>#</v>
      </c>
      <c r="I12" s="1" t="str">
        <f>"Arcana"&amp;TEXT(A12, "00")&amp;VLOOKUP(ArcanaData[[#This Row],[名前]],選択用フィールド!$D$2:$E$23,2,FALSE)&amp;ArcanaMaster[[#This Row],[位置]]</f>
        <v>Arcana05HierophantFront</v>
      </c>
    </row>
    <row r="13" spans="1:9" x14ac:dyDescent="0.45">
      <c r="A13">
        <f>INDEX(ArcanaMaster[ID], ROW()-1)</f>
        <v>5</v>
      </c>
      <c r="B13">
        <f>VLOOKUP(ArcanaMaster[[#This Row],[位置]],選択用フィールド!$K$2:$L$3,2,FALSE)</f>
        <v>-1</v>
      </c>
      <c r="C13" t="str">
        <f>ArcanaMaster[[#This Row],[名前]]</f>
        <v>教皇</v>
      </c>
      <c r="D13" t="str">
        <f>VLOOKUP(InputData[[#This Row],[発動条件]],選択用フィールド!$A$2:$B$4,2,FALSE)</f>
        <v>skillArcana</v>
      </c>
      <c r="E13">
        <f>InputData[[#This Row],[クールタイム]]</f>
        <v>-1</v>
      </c>
      <c r="F13">
        <f>InputData[[#This Row],[エフェクト]]</f>
        <v>0</v>
      </c>
      <c r="G13">
        <f>InputData[[#This Row],[効果音]]</f>
        <v>0</v>
      </c>
      <c r="H13" t="str">
        <f>InputData[[#This Row],[説明]]</f>
        <v>#</v>
      </c>
      <c r="I13" s="1" t="str">
        <f>"Arcana"&amp;TEXT(A13, "00")&amp;VLOOKUP(ArcanaData[[#This Row],[名前]],選択用フィールド!$D$2:$E$23,2,FALSE)&amp;ArcanaMaster[[#This Row],[位置]]</f>
        <v>Arcana05HierophantBack</v>
      </c>
    </row>
    <row r="14" spans="1:9" x14ac:dyDescent="0.45">
      <c r="A14">
        <f>INDEX(ArcanaMaster[ID], ROW()-1)</f>
        <v>6</v>
      </c>
      <c r="B14">
        <f>VLOOKUP(ArcanaMaster[[#This Row],[位置]],選択用フィールド!$K$2:$L$3,2,FALSE)</f>
        <v>1</v>
      </c>
      <c r="C14" t="str">
        <f>ArcanaMaster[[#This Row],[名前]]</f>
        <v>恋人</v>
      </c>
      <c r="D14" t="str">
        <f>VLOOKUP(InputData[[#This Row],[発動条件]],選択用フィールド!$A$2:$B$4,2,FALSE)</f>
        <v>skillArcana</v>
      </c>
      <c r="E14">
        <f>InputData[[#This Row],[クールタイム]]</f>
        <v>-1</v>
      </c>
      <c r="F14">
        <f>InputData[[#This Row],[エフェクト]]</f>
        <v>0</v>
      </c>
      <c r="G14">
        <f>InputData[[#This Row],[効果音]]</f>
        <v>0</v>
      </c>
      <c r="H14" t="str">
        <f>InputData[[#This Row],[説明]]</f>
        <v>#</v>
      </c>
      <c r="I14" s="1" t="str">
        <f>"Arcana"&amp;TEXT(A14, "00")&amp;VLOOKUP(ArcanaData[[#This Row],[名前]],選択用フィールド!$D$2:$E$23,2,FALSE)&amp;ArcanaMaster[[#This Row],[位置]]</f>
        <v>Arcana06LoversFront</v>
      </c>
    </row>
    <row r="15" spans="1:9" x14ac:dyDescent="0.45">
      <c r="A15">
        <f>INDEX(ArcanaMaster[ID], ROW()-1)</f>
        <v>6</v>
      </c>
      <c r="B15">
        <f>VLOOKUP(ArcanaMaster[[#This Row],[位置]],選択用フィールド!$K$2:$L$3,2,FALSE)</f>
        <v>-1</v>
      </c>
      <c r="C15" t="str">
        <f>ArcanaMaster[[#This Row],[名前]]</f>
        <v>恋人</v>
      </c>
      <c r="D15" t="str">
        <f>VLOOKUP(InputData[[#This Row],[発動条件]],選択用フィールド!$A$2:$B$4,2,FALSE)</f>
        <v>skillArcana</v>
      </c>
      <c r="E15">
        <f>InputData[[#This Row],[クールタイム]]</f>
        <v>-1</v>
      </c>
      <c r="F15">
        <f>InputData[[#This Row],[エフェクト]]</f>
        <v>0</v>
      </c>
      <c r="G15">
        <f>InputData[[#This Row],[効果音]]</f>
        <v>0</v>
      </c>
      <c r="H15" t="str">
        <f>InputData[[#This Row],[説明]]</f>
        <v>#</v>
      </c>
      <c r="I15" s="1" t="str">
        <f>"Arcana"&amp;TEXT(A15, "00")&amp;VLOOKUP(ArcanaData[[#This Row],[名前]],選択用フィールド!$D$2:$E$23,2,FALSE)&amp;ArcanaMaster[[#This Row],[位置]]</f>
        <v>Arcana06LoversBack</v>
      </c>
    </row>
    <row r="16" spans="1:9" x14ac:dyDescent="0.45">
      <c r="A16">
        <f>INDEX(ArcanaMaster[ID], ROW()-1)</f>
        <v>7</v>
      </c>
      <c r="B16">
        <f>VLOOKUP(ArcanaMaster[[#This Row],[位置]],選択用フィールド!$K$2:$L$3,2,FALSE)</f>
        <v>1</v>
      </c>
      <c r="C16" t="str">
        <f>ArcanaMaster[[#This Row],[名前]]</f>
        <v>戦車</v>
      </c>
      <c r="D16" t="str">
        <f>VLOOKUP(InputData[[#This Row],[発動条件]],選択用フィールド!$A$2:$B$4,2,FALSE)</f>
        <v>skillArcana</v>
      </c>
      <c r="E16">
        <f>InputData[[#This Row],[クールタイム]]</f>
        <v>-1</v>
      </c>
      <c r="F16">
        <f>InputData[[#This Row],[エフェクト]]</f>
        <v>0</v>
      </c>
      <c r="G16">
        <f>InputData[[#This Row],[効果音]]</f>
        <v>0</v>
      </c>
      <c r="H16" t="str">
        <f>InputData[[#This Row],[説明]]</f>
        <v>#</v>
      </c>
      <c r="I16" s="1" t="str">
        <f>"Arcana"&amp;TEXT(A16, "00")&amp;VLOOKUP(ArcanaData[[#This Row],[名前]],選択用フィールド!$D$2:$E$23,2,FALSE)&amp;ArcanaMaster[[#This Row],[位置]]</f>
        <v>Arcana07ChariotFront</v>
      </c>
    </row>
    <row r="17" spans="1:9" x14ac:dyDescent="0.45">
      <c r="A17">
        <f>INDEX(ArcanaMaster[ID], ROW()-1)</f>
        <v>7</v>
      </c>
      <c r="B17">
        <f>VLOOKUP(ArcanaMaster[[#This Row],[位置]],選択用フィールド!$K$2:$L$3,2,FALSE)</f>
        <v>-1</v>
      </c>
      <c r="C17" t="str">
        <f>ArcanaMaster[[#This Row],[名前]]</f>
        <v>戦車</v>
      </c>
      <c r="D17" t="str">
        <f>VLOOKUP(InputData[[#This Row],[発動条件]],選択用フィールド!$A$2:$B$4,2,FALSE)</f>
        <v>skillArcana</v>
      </c>
      <c r="E17">
        <f>InputData[[#This Row],[クールタイム]]</f>
        <v>-1</v>
      </c>
      <c r="F17">
        <f>InputData[[#This Row],[エフェクト]]</f>
        <v>0</v>
      </c>
      <c r="G17">
        <f>InputData[[#This Row],[効果音]]</f>
        <v>0</v>
      </c>
      <c r="H17" t="str">
        <f>InputData[[#This Row],[説明]]</f>
        <v>#</v>
      </c>
      <c r="I17" s="1" t="str">
        <f>"Arcana"&amp;TEXT(A17, "00")&amp;VLOOKUP(ArcanaData[[#This Row],[名前]],選択用フィールド!$D$2:$E$23,2,FALSE)&amp;ArcanaMaster[[#This Row],[位置]]</f>
        <v>Arcana07ChariotBack</v>
      </c>
    </row>
    <row r="18" spans="1:9" x14ac:dyDescent="0.45">
      <c r="A18">
        <f>INDEX(ArcanaMaster[ID], ROW()-1)</f>
        <v>8</v>
      </c>
      <c r="B18">
        <f>VLOOKUP(ArcanaMaster[[#This Row],[位置]],選択用フィールド!$K$2:$L$3,2,FALSE)</f>
        <v>1</v>
      </c>
      <c r="C18" t="str">
        <f>ArcanaMaster[[#This Row],[名前]]</f>
        <v>力</v>
      </c>
      <c r="D18" t="str">
        <f>VLOOKUP(InputData[[#This Row],[発動条件]],選択用フィールド!$A$2:$B$4,2,FALSE)</f>
        <v>skillArcana</v>
      </c>
      <c r="E18">
        <f>InputData[[#This Row],[クールタイム]]</f>
        <v>-1</v>
      </c>
      <c r="F18">
        <f>InputData[[#This Row],[エフェクト]]</f>
        <v>0</v>
      </c>
      <c r="G18">
        <f>InputData[[#This Row],[効果音]]</f>
        <v>0</v>
      </c>
      <c r="H18" t="str">
        <f>InputData[[#This Row],[説明]]</f>
        <v>#</v>
      </c>
      <c r="I18" s="1" t="str">
        <f>"Arcana"&amp;TEXT(A18, "00")&amp;VLOOKUP(ArcanaData[[#This Row],[名前]],選択用フィールド!$D$2:$E$23,2,FALSE)&amp;ArcanaMaster[[#This Row],[位置]]</f>
        <v>Arcana08StrengthFront</v>
      </c>
    </row>
    <row r="19" spans="1:9" x14ac:dyDescent="0.45">
      <c r="A19">
        <f>INDEX(ArcanaMaster[ID], ROW()-1)</f>
        <v>8</v>
      </c>
      <c r="B19">
        <f>VLOOKUP(ArcanaMaster[[#This Row],[位置]],選択用フィールド!$K$2:$L$3,2,FALSE)</f>
        <v>-1</v>
      </c>
      <c r="C19" t="str">
        <f>ArcanaMaster[[#This Row],[名前]]</f>
        <v>力</v>
      </c>
      <c r="D19" t="str">
        <f>VLOOKUP(InputData[[#This Row],[発動条件]],選択用フィールド!$A$2:$B$4,2,FALSE)</f>
        <v>skillArcana</v>
      </c>
      <c r="E19">
        <f>InputData[[#This Row],[クールタイム]]</f>
        <v>-1</v>
      </c>
      <c r="F19">
        <f>InputData[[#This Row],[エフェクト]]</f>
        <v>0</v>
      </c>
      <c r="G19">
        <f>InputData[[#This Row],[効果音]]</f>
        <v>0</v>
      </c>
      <c r="H19" t="str">
        <f>InputData[[#This Row],[説明]]</f>
        <v>#</v>
      </c>
      <c r="I19" s="1" t="str">
        <f>"Arcana"&amp;TEXT(A19, "00")&amp;VLOOKUP(ArcanaData[[#This Row],[名前]],選択用フィールド!$D$2:$E$23,2,FALSE)&amp;ArcanaMaster[[#This Row],[位置]]</f>
        <v>Arcana08StrengthBack</v>
      </c>
    </row>
    <row r="20" spans="1:9" x14ac:dyDescent="0.45">
      <c r="A20">
        <f>INDEX(ArcanaMaster[ID], ROW()-1)</f>
        <v>9</v>
      </c>
      <c r="B20">
        <f>VLOOKUP(ArcanaMaster[[#This Row],[位置]],選択用フィールド!$K$2:$L$3,2,FALSE)</f>
        <v>1</v>
      </c>
      <c r="C20" t="str">
        <f>ArcanaMaster[[#This Row],[名前]]</f>
        <v>隠者</v>
      </c>
      <c r="D20" t="str">
        <f>VLOOKUP(InputData[[#This Row],[発動条件]],選択用フィールド!$A$2:$B$4,2,FALSE)</f>
        <v>skillArcana</v>
      </c>
      <c r="E20">
        <f>InputData[[#This Row],[クールタイム]]</f>
        <v>-1</v>
      </c>
      <c r="F20">
        <f>InputData[[#This Row],[エフェクト]]</f>
        <v>0</v>
      </c>
      <c r="G20">
        <f>InputData[[#This Row],[効果音]]</f>
        <v>0</v>
      </c>
      <c r="H20" t="str">
        <f>InputData[[#This Row],[説明]]</f>
        <v>#</v>
      </c>
      <c r="I20" s="1" t="str">
        <f>"Arcana"&amp;TEXT(A20, "00")&amp;VLOOKUP(ArcanaData[[#This Row],[名前]],選択用フィールド!$D$2:$E$23,2,FALSE)&amp;ArcanaMaster[[#This Row],[位置]]</f>
        <v>Arcana09HermitFront</v>
      </c>
    </row>
    <row r="21" spans="1:9" x14ac:dyDescent="0.45">
      <c r="A21">
        <f>INDEX(ArcanaMaster[ID], ROW()-1)</f>
        <v>9</v>
      </c>
      <c r="B21">
        <f>VLOOKUP(ArcanaMaster[[#This Row],[位置]],選択用フィールド!$K$2:$L$3,2,FALSE)</f>
        <v>-1</v>
      </c>
      <c r="C21" t="str">
        <f>ArcanaMaster[[#This Row],[名前]]</f>
        <v>隠者</v>
      </c>
      <c r="D21" t="str">
        <f>VLOOKUP(InputData[[#This Row],[発動条件]],選択用フィールド!$A$2:$B$4,2,FALSE)</f>
        <v>skillArcana</v>
      </c>
      <c r="E21">
        <f>InputData[[#This Row],[クールタイム]]</f>
        <v>-1</v>
      </c>
      <c r="F21">
        <f>InputData[[#This Row],[エフェクト]]</f>
        <v>0</v>
      </c>
      <c r="G21">
        <f>InputData[[#This Row],[効果音]]</f>
        <v>0</v>
      </c>
      <c r="H21" t="str">
        <f>InputData[[#This Row],[説明]]</f>
        <v>#</v>
      </c>
      <c r="I21" s="1" t="str">
        <f>"Arcana"&amp;TEXT(A21, "00")&amp;VLOOKUP(ArcanaData[[#This Row],[名前]],選択用フィールド!$D$2:$E$23,2,FALSE)&amp;ArcanaMaster[[#This Row],[位置]]</f>
        <v>Arcana09HermitBack</v>
      </c>
    </row>
    <row r="22" spans="1:9" x14ac:dyDescent="0.45">
      <c r="A22">
        <f>INDEX(ArcanaMaster[ID], ROW()-1)</f>
        <v>10</v>
      </c>
      <c r="B22">
        <f>VLOOKUP(ArcanaMaster[[#This Row],[位置]],選択用フィールド!$K$2:$L$3,2,FALSE)</f>
        <v>1</v>
      </c>
      <c r="C22" t="str">
        <f>ArcanaMaster[[#This Row],[名前]]</f>
        <v>運命の輪</v>
      </c>
      <c r="D22" t="str">
        <f>VLOOKUP(InputData[[#This Row],[発動条件]],選択用フィールド!$A$2:$B$4,2,FALSE)</f>
        <v>skillArcana</v>
      </c>
      <c r="E22">
        <f>InputData[[#This Row],[クールタイム]]</f>
        <v>-1</v>
      </c>
      <c r="F22">
        <f>InputData[[#This Row],[エフェクト]]</f>
        <v>0</v>
      </c>
      <c r="G22">
        <f>InputData[[#This Row],[効果音]]</f>
        <v>0</v>
      </c>
      <c r="H22" t="str">
        <f>InputData[[#This Row],[説明]]</f>
        <v>#</v>
      </c>
      <c r="I22" s="1" t="str">
        <f>"Arcana"&amp;TEXT(A22, "00")&amp;VLOOKUP(ArcanaData[[#This Row],[名前]],選択用フィールド!$D$2:$E$23,2,FALSE)&amp;ArcanaMaster[[#This Row],[位置]]</f>
        <v>Arcana10WheelOfFortuneFront</v>
      </c>
    </row>
    <row r="23" spans="1:9" x14ac:dyDescent="0.45">
      <c r="A23">
        <f>INDEX(ArcanaMaster[ID], ROW()-1)</f>
        <v>10</v>
      </c>
      <c r="B23">
        <f>VLOOKUP(ArcanaMaster[[#This Row],[位置]],選択用フィールド!$K$2:$L$3,2,FALSE)</f>
        <v>-1</v>
      </c>
      <c r="C23" t="str">
        <f>ArcanaMaster[[#This Row],[名前]]</f>
        <v>運命の輪</v>
      </c>
      <c r="D23" t="str">
        <f>VLOOKUP(InputData[[#This Row],[発動条件]],選択用フィールド!$A$2:$B$4,2,FALSE)</f>
        <v>skillArcana</v>
      </c>
      <c r="E23">
        <f>InputData[[#This Row],[クールタイム]]</f>
        <v>-1</v>
      </c>
      <c r="F23">
        <f>InputData[[#This Row],[エフェクト]]</f>
        <v>0</v>
      </c>
      <c r="G23">
        <f>InputData[[#This Row],[効果音]]</f>
        <v>0</v>
      </c>
      <c r="H23" t="str">
        <f>InputData[[#This Row],[説明]]</f>
        <v>#</v>
      </c>
      <c r="I23" s="1" t="str">
        <f>"Arcana"&amp;TEXT(A23, "00")&amp;VLOOKUP(ArcanaData[[#This Row],[名前]],選択用フィールド!$D$2:$E$23,2,FALSE)&amp;ArcanaMaster[[#This Row],[位置]]</f>
        <v>Arcana10WheelOfFortuneBack</v>
      </c>
    </row>
    <row r="24" spans="1:9" x14ac:dyDescent="0.45">
      <c r="A24">
        <f>INDEX(ArcanaMaster[ID], ROW()-1)</f>
        <v>11</v>
      </c>
      <c r="B24">
        <f>VLOOKUP(ArcanaMaster[[#This Row],[位置]],選択用フィールド!$K$2:$L$3,2,FALSE)</f>
        <v>1</v>
      </c>
      <c r="C24" t="str">
        <f>ArcanaMaster[[#This Row],[名前]]</f>
        <v>正義</v>
      </c>
      <c r="D24" t="str">
        <f>VLOOKUP(InputData[[#This Row],[発動条件]],選択用フィールド!$A$2:$B$4,2,FALSE)</f>
        <v>skillArcana</v>
      </c>
      <c r="E24">
        <f>InputData[[#This Row],[クールタイム]]</f>
        <v>-1</v>
      </c>
      <c r="F24">
        <f>InputData[[#This Row],[エフェクト]]</f>
        <v>0</v>
      </c>
      <c r="G24">
        <f>InputData[[#This Row],[効果音]]</f>
        <v>0</v>
      </c>
      <c r="H24" t="str">
        <f>InputData[[#This Row],[説明]]</f>
        <v>#</v>
      </c>
      <c r="I24" s="1" t="str">
        <f>"Arcana"&amp;TEXT(A24, "00")&amp;VLOOKUP(ArcanaData[[#This Row],[名前]],選択用フィールド!$D$2:$E$23,2,FALSE)&amp;ArcanaMaster[[#This Row],[位置]]</f>
        <v>Arcana11JusticeFront</v>
      </c>
    </row>
    <row r="25" spans="1:9" x14ac:dyDescent="0.45">
      <c r="A25">
        <f>INDEX(ArcanaMaster[ID], ROW()-1)</f>
        <v>11</v>
      </c>
      <c r="B25">
        <f>VLOOKUP(ArcanaMaster[[#This Row],[位置]],選択用フィールド!$K$2:$L$3,2,FALSE)</f>
        <v>-1</v>
      </c>
      <c r="C25" t="str">
        <f>ArcanaMaster[[#This Row],[名前]]</f>
        <v>正義</v>
      </c>
      <c r="D25" t="str">
        <f>VLOOKUP(InputData[[#This Row],[発動条件]],選択用フィールド!$A$2:$B$4,2,FALSE)</f>
        <v>skillArcana</v>
      </c>
      <c r="E25">
        <f>InputData[[#This Row],[クールタイム]]</f>
        <v>-1</v>
      </c>
      <c r="F25">
        <f>InputData[[#This Row],[エフェクト]]</f>
        <v>0</v>
      </c>
      <c r="G25">
        <f>InputData[[#This Row],[効果音]]</f>
        <v>0</v>
      </c>
      <c r="H25" t="str">
        <f>InputData[[#This Row],[説明]]</f>
        <v>#</v>
      </c>
      <c r="I25" s="1" t="str">
        <f>"Arcana"&amp;TEXT(A25, "00")&amp;VLOOKUP(ArcanaData[[#This Row],[名前]],選択用フィールド!$D$2:$E$23,2,FALSE)&amp;ArcanaMaster[[#This Row],[位置]]</f>
        <v>Arcana11JusticeBack</v>
      </c>
    </row>
    <row r="26" spans="1:9" x14ac:dyDescent="0.45">
      <c r="A26">
        <f>INDEX(ArcanaMaster[ID], ROW()-1)</f>
        <v>12</v>
      </c>
      <c r="B26">
        <f>VLOOKUP(ArcanaMaster[[#This Row],[位置]],選択用フィールド!$K$2:$L$3,2,FALSE)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Row],[発動条件]],選択用フィールド!$A$2:$B$4,2,FALSE)</f>
        <v>skillArcana</v>
      </c>
      <c r="E26">
        <f>InputData[[#This Row],[クールタイム]]</f>
        <v>-1</v>
      </c>
      <c r="F26">
        <f>InputData[[#This Row],[エフェクト]]</f>
        <v>0</v>
      </c>
      <c r="G26">
        <f>InputData[[#This Row],[効果音]]</f>
        <v>0</v>
      </c>
      <c r="H26" t="str">
        <f>InputData[[#This Row],[説明]]</f>
        <v>#</v>
      </c>
      <c r="I26" s="1" t="str">
        <f>"Arcana"&amp;TEXT(A26, "00")&amp;VLOOKUP(ArcanaData[[#This Row],[名前]],選択用フィールド!$D$2:$E$23,2,FALSE)&amp;ArcanaMaster[[#This Row],[位置]]</f>
        <v>Arcana12HangedManFront</v>
      </c>
    </row>
    <row r="27" spans="1:9" x14ac:dyDescent="0.45">
      <c r="A27">
        <f>INDEX(ArcanaMaster[ID], ROW()-1)</f>
        <v>12</v>
      </c>
      <c r="B27">
        <f>VLOOKUP(ArcanaMaster[[#This Row],[位置]],選択用フィールド!$K$2:$L$3,2,FALSE)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Row],[発動条件]],選択用フィールド!$A$2:$B$4,2,FALSE)</f>
        <v>skillArcana</v>
      </c>
      <c r="E27">
        <f>InputData[[#This Row],[クールタイム]]</f>
        <v>-1</v>
      </c>
      <c r="F27">
        <f>InputData[[#This Row],[エフェクト]]</f>
        <v>0</v>
      </c>
      <c r="G27">
        <f>InputData[[#This Row],[効果音]]</f>
        <v>0</v>
      </c>
      <c r="H27" t="str">
        <f>InputData[[#This Row],[説明]]</f>
        <v>#</v>
      </c>
      <c r="I27" s="1" t="str">
        <f>"Arcana"&amp;TEXT(A27, "00")&amp;VLOOKUP(ArcanaData[[#This Row],[名前]],選択用フィールド!$D$2:$E$23,2,FALSE)&amp;ArcanaMaster[[#This Row],[位置]]</f>
        <v>Arcana12HangedManBack</v>
      </c>
    </row>
    <row r="28" spans="1:9" x14ac:dyDescent="0.45">
      <c r="A28">
        <f>INDEX(ArcanaMaster[ID], ROW()-1)</f>
        <v>13</v>
      </c>
      <c r="B28">
        <f>VLOOKUP(ArcanaMaster[[#This Row],[位置]],選択用フィールド!$K$2:$L$3,2,FALSE)</f>
        <v>1</v>
      </c>
      <c r="C28" t="str">
        <f>ArcanaMaster[[#This Row],[名前]]</f>
        <v>死神</v>
      </c>
      <c r="D28" t="str">
        <f>VLOOKUP(InputData[[#This Row],[発動条件]],選択用フィールド!$A$2:$B$4,2,FALSE)</f>
        <v>skillArcana</v>
      </c>
      <c r="E28">
        <f>InputData[[#This Row],[クールタイム]]</f>
        <v>-1</v>
      </c>
      <c r="F28">
        <f>InputData[[#This Row],[エフェクト]]</f>
        <v>0</v>
      </c>
      <c r="G28">
        <f>InputData[[#This Row],[効果音]]</f>
        <v>0</v>
      </c>
      <c r="H28" t="str">
        <f>InputData[[#This Row],[説明]]</f>
        <v>#</v>
      </c>
      <c r="I28" s="1" t="str">
        <f>"Arcana"&amp;TEXT(A28, "00")&amp;VLOOKUP(ArcanaData[[#This Row],[名前]],選択用フィールド!$D$2:$E$23,2,FALSE)&amp;ArcanaMaster[[#This Row],[位置]]</f>
        <v>Arcana13DeathFront</v>
      </c>
    </row>
    <row r="29" spans="1:9" x14ac:dyDescent="0.45">
      <c r="A29">
        <f>INDEX(ArcanaMaster[ID], ROW()-1)</f>
        <v>13</v>
      </c>
      <c r="B29">
        <f>VLOOKUP(ArcanaMaster[[#This Row],[位置]],選択用フィールド!$K$2:$L$3,2,FALSE)</f>
        <v>-1</v>
      </c>
      <c r="C29" t="str">
        <f>ArcanaMaster[[#This Row],[名前]]</f>
        <v>死神</v>
      </c>
      <c r="D29" t="str">
        <f>VLOOKUP(InputData[[#This Row],[発動条件]],選択用フィールド!$A$2:$B$4,2,FALSE)</f>
        <v>skillArcana</v>
      </c>
      <c r="E29">
        <f>InputData[[#This Row],[クールタイム]]</f>
        <v>-1</v>
      </c>
      <c r="F29">
        <f>InputData[[#This Row],[エフェクト]]</f>
        <v>0</v>
      </c>
      <c r="G29">
        <f>InputData[[#This Row],[効果音]]</f>
        <v>0</v>
      </c>
      <c r="H29" t="str">
        <f>InputData[[#This Row],[説明]]</f>
        <v>#</v>
      </c>
      <c r="I29" s="1" t="str">
        <f>"Arcana"&amp;TEXT(A29, "00")&amp;VLOOKUP(ArcanaData[[#This Row],[名前]],選択用フィールド!$D$2:$E$23,2,FALSE)&amp;ArcanaMaster[[#This Row],[位置]]</f>
        <v>Arcana13DeathBack</v>
      </c>
    </row>
    <row r="30" spans="1:9" x14ac:dyDescent="0.45">
      <c r="A30">
        <f>INDEX(ArcanaMaster[ID], ROW()-1)</f>
        <v>14</v>
      </c>
      <c r="B30">
        <f>VLOOKUP(ArcanaMaster[[#This Row],[位置]],選択用フィールド!$K$2:$L$3,2,FALSE)</f>
        <v>1</v>
      </c>
      <c r="C30" t="str">
        <f>ArcanaMaster[[#This Row],[名前]]</f>
        <v>節制</v>
      </c>
      <c r="D30" t="str">
        <f>VLOOKUP(InputData[[#This Row],[発動条件]],選択用フィールド!$A$2:$B$4,2,FALSE)</f>
        <v>skillArcana</v>
      </c>
      <c r="E30">
        <f>InputData[[#This Row],[クールタイム]]</f>
        <v>-1</v>
      </c>
      <c r="F30">
        <f>InputData[[#This Row],[エフェクト]]</f>
        <v>0</v>
      </c>
      <c r="G30">
        <f>InputData[[#This Row],[効果音]]</f>
        <v>0</v>
      </c>
      <c r="H30" t="str">
        <f>InputData[[#This Row],[説明]]</f>
        <v>#</v>
      </c>
      <c r="I30" s="1" t="str">
        <f>"Arcana"&amp;TEXT(A30, "00")&amp;VLOOKUP(ArcanaData[[#This Row],[名前]],選択用フィールド!$D$2:$E$23,2,FALSE)&amp;ArcanaMaster[[#This Row],[位置]]</f>
        <v>Arcana14TemperanceFront</v>
      </c>
    </row>
    <row r="31" spans="1:9" x14ac:dyDescent="0.45">
      <c r="A31">
        <f>INDEX(ArcanaMaster[ID], ROW()-1)</f>
        <v>14</v>
      </c>
      <c r="B31">
        <f>VLOOKUP(ArcanaMaster[[#This Row],[位置]],選択用フィールド!$K$2:$L$3,2,FALSE)</f>
        <v>-1</v>
      </c>
      <c r="C31" t="str">
        <f>ArcanaMaster[[#This Row],[名前]]</f>
        <v>節制</v>
      </c>
      <c r="D31" t="str">
        <f>VLOOKUP(InputData[[#This Row],[発動条件]],選択用フィールド!$A$2:$B$4,2,FALSE)</f>
        <v>skillArcana</v>
      </c>
      <c r="E31">
        <f>InputData[[#This Row],[クールタイム]]</f>
        <v>-1</v>
      </c>
      <c r="F31">
        <f>InputData[[#This Row],[エフェクト]]</f>
        <v>0</v>
      </c>
      <c r="G31">
        <f>InputData[[#This Row],[効果音]]</f>
        <v>0</v>
      </c>
      <c r="H31" t="str">
        <f>InputData[[#This Row],[説明]]</f>
        <v>#</v>
      </c>
      <c r="I31" s="1" t="str">
        <f>"Arcana"&amp;TEXT(A31, "00")&amp;VLOOKUP(ArcanaData[[#This Row],[名前]],選択用フィールド!$D$2:$E$23,2,FALSE)&amp;ArcanaMaster[[#This Row],[位置]]</f>
        <v>Arcana14TemperanceBack</v>
      </c>
    </row>
    <row r="32" spans="1:9" x14ac:dyDescent="0.45">
      <c r="A32">
        <f>INDEX(ArcanaMaster[ID], ROW()-1)</f>
        <v>15</v>
      </c>
      <c r="B32">
        <f>VLOOKUP(ArcanaMaster[[#This Row],[位置]],選択用フィールド!$K$2:$L$3,2,FALSE)</f>
        <v>1</v>
      </c>
      <c r="C32" t="str">
        <f>ArcanaMaster[[#This Row],[名前]]</f>
        <v>悪魔</v>
      </c>
      <c r="D32" t="str">
        <f>VLOOKUP(InputData[[#This Row],[発動条件]],選択用フィールド!$A$2:$B$4,2,FALSE)</f>
        <v>skillArcana</v>
      </c>
      <c r="E32">
        <f>InputData[[#This Row],[クールタイム]]</f>
        <v>-1</v>
      </c>
      <c r="F32">
        <f>InputData[[#This Row],[エフェクト]]</f>
        <v>0</v>
      </c>
      <c r="G32">
        <f>InputData[[#This Row],[効果音]]</f>
        <v>0</v>
      </c>
      <c r="H32" t="str">
        <f>InputData[[#This Row],[説明]]</f>
        <v>#</v>
      </c>
      <c r="I32" s="1" t="str">
        <f>"Arcana"&amp;TEXT(A32, "00")&amp;VLOOKUP(ArcanaData[[#This Row],[名前]],選択用フィールド!$D$2:$E$23,2,FALSE)&amp;ArcanaMaster[[#This Row],[位置]]</f>
        <v>Arcana15DevilFront</v>
      </c>
    </row>
    <row r="33" spans="1:9" x14ac:dyDescent="0.45">
      <c r="A33">
        <f>INDEX(ArcanaMaster[ID], ROW()-1)</f>
        <v>15</v>
      </c>
      <c r="B33">
        <f>VLOOKUP(ArcanaMaster[[#This Row],[位置]],選択用フィールド!$K$2:$L$3,2,FALSE)</f>
        <v>-1</v>
      </c>
      <c r="C33" t="str">
        <f>ArcanaMaster[[#This Row],[名前]]</f>
        <v>悪魔</v>
      </c>
      <c r="D33" t="str">
        <f>VLOOKUP(InputData[[#This Row],[発動条件]],選択用フィールド!$A$2:$B$4,2,FALSE)</f>
        <v>skillArcana</v>
      </c>
      <c r="E33">
        <f>InputData[[#This Row],[クールタイム]]</f>
        <v>-1</v>
      </c>
      <c r="F33">
        <f>InputData[[#This Row],[エフェクト]]</f>
        <v>0</v>
      </c>
      <c r="G33">
        <f>InputData[[#This Row],[効果音]]</f>
        <v>0</v>
      </c>
      <c r="H33" t="str">
        <f>InputData[[#This Row],[説明]]</f>
        <v>#</v>
      </c>
      <c r="I33" s="1" t="str">
        <f>"Arcana"&amp;TEXT(A33, "00")&amp;VLOOKUP(ArcanaData[[#This Row],[名前]],選択用フィールド!$D$2:$E$23,2,FALSE)&amp;ArcanaMaster[[#This Row],[位置]]</f>
        <v>Arcana15DevilBack</v>
      </c>
    </row>
    <row r="34" spans="1:9" x14ac:dyDescent="0.45">
      <c r="A34">
        <f>INDEX(ArcanaMaster[ID], ROW()-1)</f>
        <v>16</v>
      </c>
      <c r="B34">
        <f>VLOOKUP(ArcanaMaster[[#This Row],[位置]],選択用フィールド!$K$2:$L$3,2,FALSE)</f>
        <v>1</v>
      </c>
      <c r="C34" t="str">
        <f>ArcanaMaster[[#This Row],[名前]]</f>
        <v>塔</v>
      </c>
      <c r="D34" t="str">
        <f>VLOOKUP(InputData[[#This Row],[発動条件]],選択用フィールド!$A$2:$B$4,2,FALSE)</f>
        <v>skillArcana</v>
      </c>
      <c r="E34">
        <f>InputData[[#This Row],[クールタイム]]</f>
        <v>-1</v>
      </c>
      <c r="F34">
        <f>InputData[[#This Row],[エフェクト]]</f>
        <v>0</v>
      </c>
      <c r="G34">
        <f>InputData[[#This Row],[効果音]]</f>
        <v>0</v>
      </c>
      <c r="H34" t="str">
        <f>InputData[[#This Row],[説明]]</f>
        <v>#</v>
      </c>
      <c r="I34" s="1" t="str">
        <f>"Arcana"&amp;TEXT(A34, "00")&amp;VLOOKUP(ArcanaData[[#This Row],[名前]],選択用フィールド!$D$2:$E$23,2,FALSE)&amp;ArcanaMaster[[#This Row],[位置]]</f>
        <v>Arcana16TowerFront</v>
      </c>
    </row>
    <row r="35" spans="1:9" x14ac:dyDescent="0.45">
      <c r="A35">
        <f>INDEX(ArcanaMaster[ID], ROW()-1)</f>
        <v>16</v>
      </c>
      <c r="B35">
        <f>VLOOKUP(ArcanaMaster[[#This Row],[位置]],選択用フィールド!$K$2:$L$3,2,FALSE)</f>
        <v>-1</v>
      </c>
      <c r="C35" t="str">
        <f>ArcanaMaster[[#This Row],[名前]]</f>
        <v>塔</v>
      </c>
      <c r="D35" t="str">
        <f>VLOOKUP(InputData[[#This Row],[発動条件]],選択用フィールド!$A$2:$B$4,2,FALSE)</f>
        <v>skillArcana</v>
      </c>
      <c r="E35">
        <f>InputData[[#This Row],[クールタイム]]</f>
        <v>-1</v>
      </c>
      <c r="F35">
        <f>InputData[[#This Row],[エフェクト]]</f>
        <v>0</v>
      </c>
      <c r="G35">
        <f>InputData[[#This Row],[効果音]]</f>
        <v>0</v>
      </c>
      <c r="H35" t="str">
        <f>InputData[[#This Row],[説明]]</f>
        <v>#</v>
      </c>
      <c r="I35" s="1" t="str">
        <f>"Arcana"&amp;TEXT(A35, "00")&amp;VLOOKUP(ArcanaData[[#This Row],[名前]],選択用フィールド!$D$2:$E$23,2,FALSE)&amp;ArcanaMaster[[#This Row],[位置]]</f>
        <v>Arcana16TowerBack</v>
      </c>
    </row>
    <row r="36" spans="1:9" x14ac:dyDescent="0.45">
      <c r="A36">
        <f>INDEX(ArcanaMaster[ID], ROW()-1)</f>
        <v>17</v>
      </c>
      <c r="B36">
        <f>VLOOKUP(ArcanaMaster[[#This Row],[位置]],選択用フィールド!$K$2:$L$3,2,FALSE)</f>
        <v>1</v>
      </c>
      <c r="C36" t="str">
        <f>ArcanaMaster[[#This Row],[名前]]</f>
        <v>星</v>
      </c>
      <c r="D36" t="str">
        <f>VLOOKUP(InputData[[#This Row],[発動条件]],選択用フィールド!$A$2:$B$4,2,FALSE)</f>
        <v>skillArcana</v>
      </c>
      <c r="E36">
        <f>InputData[[#This Row],[クールタイム]]</f>
        <v>-1</v>
      </c>
      <c r="F36">
        <f>InputData[[#This Row],[エフェクト]]</f>
        <v>0</v>
      </c>
      <c r="G36">
        <f>InputData[[#This Row],[効果音]]</f>
        <v>0</v>
      </c>
      <c r="H36" t="str">
        <f>InputData[[#This Row],[説明]]</f>
        <v>#</v>
      </c>
      <c r="I36" s="1" t="str">
        <f>"Arcana"&amp;TEXT(A36, "00")&amp;VLOOKUP(ArcanaData[[#This Row],[名前]],選択用フィールド!$D$2:$E$23,2,FALSE)&amp;ArcanaMaster[[#This Row],[位置]]</f>
        <v>Arcana17StarFront</v>
      </c>
    </row>
    <row r="37" spans="1:9" x14ac:dyDescent="0.45">
      <c r="A37">
        <f>INDEX(ArcanaMaster[ID], ROW()-1)</f>
        <v>17</v>
      </c>
      <c r="B37">
        <f>VLOOKUP(ArcanaMaster[[#This Row],[位置]],選択用フィールド!$K$2:$L$3,2,FALSE)</f>
        <v>-1</v>
      </c>
      <c r="C37" t="str">
        <f>ArcanaMaster[[#This Row],[名前]]</f>
        <v>星</v>
      </c>
      <c r="D37" t="str">
        <f>VLOOKUP(InputData[[#This Row],[発動条件]],選択用フィールド!$A$2:$B$4,2,FALSE)</f>
        <v>skillArcana</v>
      </c>
      <c r="E37">
        <f>InputData[[#This Row],[クールタイム]]</f>
        <v>-1</v>
      </c>
      <c r="F37">
        <f>InputData[[#This Row],[エフェクト]]</f>
        <v>0</v>
      </c>
      <c r="G37">
        <f>InputData[[#This Row],[効果音]]</f>
        <v>0</v>
      </c>
      <c r="H37" t="str">
        <f>InputData[[#This Row],[説明]]</f>
        <v>#</v>
      </c>
      <c r="I37" s="1" t="str">
        <f>"Arcana"&amp;TEXT(A37, "00")&amp;VLOOKUP(ArcanaData[[#This Row],[名前]],選択用フィールド!$D$2:$E$23,2,FALSE)&amp;ArcanaMaster[[#This Row],[位置]]</f>
        <v>Arcana17StarBack</v>
      </c>
    </row>
    <row r="38" spans="1:9" x14ac:dyDescent="0.45">
      <c r="A38">
        <f>INDEX(ArcanaMaster[ID], ROW()-1)</f>
        <v>18</v>
      </c>
      <c r="B38">
        <f>VLOOKUP(ArcanaMaster[[#This Row],[位置]],選択用フィールド!$K$2:$L$3,2,FALSE)</f>
        <v>1</v>
      </c>
      <c r="C38" t="str">
        <f>ArcanaMaster[[#This Row],[名前]]</f>
        <v>月</v>
      </c>
      <c r="D38" t="str">
        <f>VLOOKUP(InputData[[#This Row],[発動条件]],選択用フィールド!$A$2:$B$4,2,FALSE)</f>
        <v>skillArcana</v>
      </c>
      <c r="E38">
        <f>InputData[[#This Row],[クールタイム]]</f>
        <v>-1</v>
      </c>
      <c r="F38">
        <f>InputData[[#This Row],[エフェクト]]</f>
        <v>0</v>
      </c>
      <c r="G38">
        <f>InputData[[#This Row],[効果音]]</f>
        <v>0</v>
      </c>
      <c r="H38" t="str">
        <f>InputData[[#This Row],[説明]]</f>
        <v>#</v>
      </c>
      <c r="I38" s="1" t="str">
        <f>"Arcana"&amp;TEXT(A38, "00")&amp;VLOOKUP(ArcanaData[[#This Row],[名前]],選択用フィールド!$D$2:$E$23,2,FALSE)&amp;ArcanaMaster[[#This Row],[位置]]</f>
        <v>Arcana18MoonFront</v>
      </c>
    </row>
    <row r="39" spans="1:9" x14ac:dyDescent="0.45">
      <c r="A39">
        <f>INDEX(ArcanaMaster[ID], ROW()-1)</f>
        <v>18</v>
      </c>
      <c r="B39">
        <f>VLOOKUP(ArcanaMaster[[#This Row],[位置]],選択用フィールド!$K$2:$L$3,2,FALSE)</f>
        <v>-1</v>
      </c>
      <c r="C39" t="str">
        <f>ArcanaMaster[[#This Row],[名前]]</f>
        <v>月</v>
      </c>
      <c r="D39" t="str">
        <f>VLOOKUP(InputData[[#This Row],[発動条件]],選択用フィールド!$A$2:$B$4,2,FALSE)</f>
        <v>skillArcana</v>
      </c>
      <c r="E39">
        <f>InputData[[#This Row],[クールタイム]]</f>
        <v>-1</v>
      </c>
      <c r="F39">
        <f>InputData[[#This Row],[エフェクト]]</f>
        <v>0</v>
      </c>
      <c r="G39">
        <f>InputData[[#This Row],[効果音]]</f>
        <v>0</v>
      </c>
      <c r="H39" t="str">
        <f>InputData[[#This Row],[説明]]</f>
        <v>#</v>
      </c>
      <c r="I39" s="1" t="str">
        <f>"Arcana"&amp;TEXT(A39, "00")&amp;VLOOKUP(ArcanaData[[#This Row],[名前]],選択用フィールド!$D$2:$E$23,2,FALSE)&amp;ArcanaMaster[[#This Row],[位置]]</f>
        <v>Arcana18MoonBack</v>
      </c>
    </row>
    <row r="40" spans="1:9" x14ac:dyDescent="0.45">
      <c r="A40">
        <f>INDEX(ArcanaMaster[ID], ROW()-1)</f>
        <v>19</v>
      </c>
      <c r="B40">
        <f>VLOOKUP(ArcanaMaster[[#This Row],[位置]],選択用フィールド!$K$2:$L$3,2,FALSE)</f>
        <v>1</v>
      </c>
      <c r="C40" t="str">
        <f>ArcanaMaster[[#This Row],[名前]]</f>
        <v>太陽</v>
      </c>
      <c r="D40" t="str">
        <f>VLOOKUP(InputData[[#This Row],[発動条件]],選択用フィールド!$A$2:$B$4,2,FALSE)</f>
        <v>skillArcana</v>
      </c>
      <c r="E40">
        <f>InputData[[#This Row],[クールタイム]]</f>
        <v>-1</v>
      </c>
      <c r="F40">
        <f>InputData[[#This Row],[エフェクト]]</f>
        <v>0</v>
      </c>
      <c r="G40">
        <f>InputData[[#This Row],[効果音]]</f>
        <v>0</v>
      </c>
      <c r="H40" t="str">
        <f>InputData[[#This Row],[説明]]</f>
        <v>#</v>
      </c>
      <c r="I40" s="1" t="str">
        <f>"Arcana"&amp;TEXT(A40, "00")&amp;VLOOKUP(ArcanaData[[#This Row],[名前]],選択用フィールド!$D$2:$E$23,2,FALSE)&amp;ArcanaMaster[[#This Row],[位置]]</f>
        <v>Arcana19SunFront</v>
      </c>
    </row>
    <row r="41" spans="1:9" x14ac:dyDescent="0.45">
      <c r="A41">
        <f>INDEX(ArcanaMaster[ID], ROW()-1)</f>
        <v>19</v>
      </c>
      <c r="B41">
        <f>VLOOKUP(ArcanaMaster[[#This Row],[位置]],選択用フィールド!$K$2:$L$3,2,FALSE)</f>
        <v>-1</v>
      </c>
      <c r="C41" t="str">
        <f>ArcanaMaster[[#This Row],[名前]]</f>
        <v>太陽</v>
      </c>
      <c r="D41" t="str">
        <f>VLOOKUP(InputData[[#This Row],[発動条件]],選択用フィールド!$A$2:$B$4,2,FALSE)</f>
        <v>skillArcana</v>
      </c>
      <c r="E41">
        <f>InputData[[#This Row],[クールタイム]]</f>
        <v>-1</v>
      </c>
      <c r="F41">
        <f>InputData[[#This Row],[エフェクト]]</f>
        <v>0</v>
      </c>
      <c r="G41">
        <f>InputData[[#This Row],[効果音]]</f>
        <v>0</v>
      </c>
      <c r="H41" t="str">
        <f>InputData[[#This Row],[説明]]</f>
        <v>#</v>
      </c>
      <c r="I41" s="1" t="str">
        <f>"Arcana"&amp;TEXT(A41, "00")&amp;VLOOKUP(ArcanaData[[#This Row],[名前]],選択用フィールド!$D$2:$E$23,2,FALSE)&amp;ArcanaMaster[[#This Row],[位置]]</f>
        <v>Arcana19SunBack</v>
      </c>
    </row>
    <row r="42" spans="1:9" x14ac:dyDescent="0.45">
      <c r="A42">
        <f>INDEX(ArcanaMaster[ID], ROW()-1)</f>
        <v>20</v>
      </c>
      <c r="B42">
        <f>VLOOKUP(ArcanaMaster[[#This Row],[位置]],選択用フィールド!$K$2:$L$3,2,FALSE)</f>
        <v>1</v>
      </c>
      <c r="C42" t="str">
        <f>ArcanaMaster[[#This Row],[名前]]</f>
        <v>審判</v>
      </c>
      <c r="D42" t="str">
        <f>VLOOKUP(InputData[[#This Row],[発動条件]],選択用フィールド!$A$2:$B$4,2,FALSE)</f>
        <v>skillArcana</v>
      </c>
      <c r="E42">
        <f>InputData[[#This Row],[クールタイム]]</f>
        <v>-1</v>
      </c>
      <c r="F42">
        <f>InputData[[#This Row],[エフェクト]]</f>
        <v>0</v>
      </c>
      <c r="G42">
        <f>InputData[[#This Row],[効果音]]</f>
        <v>0</v>
      </c>
      <c r="H42" t="str">
        <f>InputData[[#This Row],[説明]]</f>
        <v>#</v>
      </c>
      <c r="I42" s="1" t="str">
        <f>"Arcana"&amp;TEXT(A42, "00")&amp;VLOOKUP(ArcanaData[[#This Row],[名前]],選択用フィールド!$D$2:$E$23,2,FALSE)&amp;ArcanaMaster[[#This Row],[位置]]</f>
        <v>Arcana20JudgementFront</v>
      </c>
    </row>
    <row r="43" spans="1:9" x14ac:dyDescent="0.45">
      <c r="A43">
        <f>INDEX(ArcanaMaster[ID], ROW()-1)</f>
        <v>20</v>
      </c>
      <c r="B43">
        <f>VLOOKUP(ArcanaMaster[[#This Row],[位置]],選択用フィールド!$K$2:$L$3,2,FALSE)</f>
        <v>-1</v>
      </c>
      <c r="C43" t="str">
        <f>ArcanaMaster[[#This Row],[名前]]</f>
        <v>審判</v>
      </c>
      <c r="D43" t="str">
        <f>VLOOKUP(InputData[[#This Row],[発動条件]],選択用フィールド!$A$2:$B$4,2,FALSE)</f>
        <v>skillArcana</v>
      </c>
      <c r="E43">
        <f>InputData[[#This Row],[クールタイム]]</f>
        <v>-1</v>
      </c>
      <c r="F43">
        <f>InputData[[#This Row],[エフェクト]]</f>
        <v>0</v>
      </c>
      <c r="G43">
        <f>InputData[[#This Row],[効果音]]</f>
        <v>0</v>
      </c>
      <c r="H43" t="str">
        <f>InputData[[#This Row],[説明]]</f>
        <v>#</v>
      </c>
      <c r="I43" s="1" t="str">
        <f>"Arcana"&amp;TEXT(A43, "00")&amp;VLOOKUP(ArcanaData[[#This Row],[名前]],選択用フィールド!$D$2:$E$23,2,FALSE)&amp;ArcanaMaster[[#This Row],[位置]]</f>
        <v>Arcana20JudgementBack</v>
      </c>
    </row>
    <row r="44" spans="1:9" x14ac:dyDescent="0.45">
      <c r="A44">
        <f>INDEX(ArcanaMaster[ID], ROW()-1)</f>
        <v>21</v>
      </c>
      <c r="B44">
        <f>VLOOKUP(ArcanaMaster[[#This Row],[位置]],選択用フィールド!$K$2:$L$3,2,FALSE)</f>
        <v>1</v>
      </c>
      <c r="C44" t="str">
        <f>ArcanaMaster[[#This Row],[名前]]</f>
        <v>世界</v>
      </c>
      <c r="D44" t="str">
        <f>VLOOKUP(InputData[[#This Row],[発動条件]],選択用フィールド!$A$2:$B$4,2,FALSE)</f>
        <v>skillArcana</v>
      </c>
      <c r="E44">
        <f>InputData[[#This Row],[クールタイム]]</f>
        <v>-1</v>
      </c>
      <c r="F44">
        <f>InputData[[#This Row],[エフェクト]]</f>
        <v>0</v>
      </c>
      <c r="G44">
        <f>InputData[[#This Row],[効果音]]</f>
        <v>0</v>
      </c>
      <c r="H44" t="str">
        <f>InputData[[#This Row],[説明]]</f>
        <v>#</v>
      </c>
      <c r="I44" s="1" t="str">
        <f>"Arcana"&amp;TEXT(A44, "00")&amp;VLOOKUP(ArcanaData[[#This Row],[名前]],選択用フィールド!$D$2:$E$23,2,FALSE)&amp;ArcanaMaster[[#This Row],[位置]]</f>
        <v>Arcana21WorldFront</v>
      </c>
    </row>
    <row r="45" spans="1:9" x14ac:dyDescent="0.45">
      <c r="A45">
        <f>INDEX(ArcanaMaster[ID], ROW()-1)</f>
        <v>21</v>
      </c>
      <c r="B45">
        <f>VLOOKUP(ArcanaMaster[[#This Row],[位置]],選択用フィールド!$K$2:$L$3,2,FALSE)</f>
        <v>-1</v>
      </c>
      <c r="C45" t="str">
        <f>ArcanaMaster[[#This Row],[名前]]</f>
        <v>世界</v>
      </c>
      <c r="D45" t="str">
        <f>VLOOKUP(InputData[[#This Row],[発動条件]],選択用フィールド!$A$2:$B$4,2,FALSE)</f>
        <v>skillArcana</v>
      </c>
      <c r="E45">
        <f>InputData[[#This Row],[クールタイム]]</f>
        <v>-1</v>
      </c>
      <c r="F45">
        <f>InputData[[#This Row],[エフェクト]]</f>
        <v>0</v>
      </c>
      <c r="G45">
        <f>InputData[[#This Row],[効果音]]</f>
        <v>0</v>
      </c>
      <c r="H45" t="str">
        <f>InputData[[#This Row],[説明]]</f>
        <v>#</v>
      </c>
      <c r="I45" s="1" t="str">
        <f>"Arcana"&amp;TEXT(A45, "00")&amp;VLOOKUP(ArcanaData[[#This Row],[名前]],選択用フィールド!$D$2:$E$23,2,FALSE)&amp;ArcanaMaster[[#This Row],[位置]]</f>
        <v>Arcana21WorldBack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L23"/>
  <sheetViews>
    <sheetView workbookViewId="0">
      <selection activeCell="B21" sqref="B21"/>
    </sheetView>
  </sheetViews>
  <sheetFormatPr defaultRowHeight="18" x14ac:dyDescent="0.45"/>
  <cols>
    <col min="1" max="1" width="16.19921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17.59765625" customWidth="1"/>
  </cols>
  <sheetData>
    <row r="1" spans="1:12" x14ac:dyDescent="0.45">
      <c r="A1" s="2" t="s">
        <v>4</v>
      </c>
      <c r="B1" s="2"/>
      <c r="D1" s="2" t="s">
        <v>63</v>
      </c>
      <c r="E1" s="2"/>
      <c r="G1" t="s">
        <v>87</v>
      </c>
      <c r="I1" t="s">
        <v>89</v>
      </c>
      <c r="K1" s="2" t="s">
        <v>91</v>
      </c>
      <c r="L1" s="2"/>
    </row>
    <row r="2" spans="1:12" x14ac:dyDescent="0.45">
      <c r="A2" t="s">
        <v>33</v>
      </c>
      <c r="B2" t="s">
        <v>36</v>
      </c>
      <c r="D2" t="s">
        <v>41</v>
      </c>
      <c r="E2" t="s">
        <v>64</v>
      </c>
      <c r="G2" t="s">
        <v>88</v>
      </c>
      <c r="I2" t="s">
        <v>90</v>
      </c>
      <c r="K2" t="s">
        <v>92</v>
      </c>
      <c r="L2">
        <v>1</v>
      </c>
    </row>
    <row r="3" spans="1:12" x14ac:dyDescent="0.45">
      <c r="A3" t="s">
        <v>34</v>
      </c>
      <c r="B3" t="s">
        <v>37</v>
      </c>
      <c r="D3" t="s">
        <v>42</v>
      </c>
      <c r="E3" t="s">
        <v>65</v>
      </c>
      <c r="K3" t="s">
        <v>93</v>
      </c>
      <c r="L3">
        <v>-1</v>
      </c>
    </row>
    <row r="4" spans="1:12" x14ac:dyDescent="0.45">
      <c r="A4" t="s">
        <v>35</v>
      </c>
      <c r="B4" t="s">
        <v>38</v>
      </c>
      <c r="D4" t="s">
        <v>43</v>
      </c>
      <c r="E4" t="s">
        <v>66</v>
      </c>
    </row>
    <row r="5" spans="1:12" x14ac:dyDescent="0.45">
      <c r="D5" t="s">
        <v>44</v>
      </c>
      <c r="E5" t="s">
        <v>67</v>
      </c>
    </row>
    <row r="6" spans="1:12" x14ac:dyDescent="0.45">
      <c r="D6" t="s">
        <v>45</v>
      </c>
      <c r="E6" t="s">
        <v>68</v>
      </c>
    </row>
    <row r="7" spans="1:12" x14ac:dyDescent="0.45">
      <c r="D7" t="s">
        <v>46</v>
      </c>
      <c r="E7" t="s">
        <v>69</v>
      </c>
    </row>
    <row r="8" spans="1:12" x14ac:dyDescent="0.45">
      <c r="D8" t="s">
        <v>47</v>
      </c>
      <c r="E8" t="s">
        <v>70</v>
      </c>
    </row>
    <row r="9" spans="1:12" x14ac:dyDescent="0.45">
      <c r="D9" t="s">
        <v>48</v>
      </c>
      <c r="E9" t="s">
        <v>71</v>
      </c>
    </row>
    <row r="10" spans="1:12" x14ac:dyDescent="0.45">
      <c r="D10" t="s">
        <v>49</v>
      </c>
      <c r="E10" t="s">
        <v>72</v>
      </c>
    </row>
    <row r="11" spans="1:12" x14ac:dyDescent="0.45">
      <c r="D11" t="s">
        <v>50</v>
      </c>
      <c r="E11" t="s">
        <v>73</v>
      </c>
    </row>
    <row r="12" spans="1:12" x14ac:dyDescent="0.45">
      <c r="D12" t="s">
        <v>51</v>
      </c>
      <c r="E12" t="s">
        <v>74</v>
      </c>
    </row>
    <row r="13" spans="1:12" x14ac:dyDescent="0.45">
      <c r="D13" t="s">
        <v>52</v>
      </c>
      <c r="E13" t="s">
        <v>75</v>
      </c>
    </row>
    <row r="14" spans="1:12" x14ac:dyDescent="0.45">
      <c r="D14" t="s">
        <v>53</v>
      </c>
      <c r="E14" t="s">
        <v>76</v>
      </c>
    </row>
    <row r="15" spans="1:12" x14ac:dyDescent="0.45">
      <c r="D15" t="s">
        <v>54</v>
      </c>
      <c r="E15" t="s">
        <v>77</v>
      </c>
    </row>
    <row r="16" spans="1:12" x14ac:dyDescent="0.45">
      <c r="D16" t="s">
        <v>55</v>
      </c>
      <c r="E16" t="s">
        <v>78</v>
      </c>
    </row>
    <row r="17" spans="4:5" x14ac:dyDescent="0.45">
      <c r="D17" t="s">
        <v>56</v>
      </c>
      <c r="E17" t="s">
        <v>79</v>
      </c>
    </row>
    <row r="18" spans="4:5" x14ac:dyDescent="0.45">
      <c r="D18" t="s">
        <v>57</v>
      </c>
      <c r="E18" t="s">
        <v>80</v>
      </c>
    </row>
    <row r="19" spans="4:5" x14ac:dyDescent="0.45">
      <c r="D19" t="s">
        <v>58</v>
      </c>
      <c r="E19" t="s">
        <v>81</v>
      </c>
    </row>
    <row r="20" spans="4:5" x14ac:dyDescent="0.45">
      <c r="D20" t="s">
        <v>59</v>
      </c>
      <c r="E20" t="s">
        <v>82</v>
      </c>
    </row>
    <row r="21" spans="4:5" x14ac:dyDescent="0.45">
      <c r="D21" t="s">
        <v>60</v>
      </c>
      <c r="E21" t="s">
        <v>83</v>
      </c>
    </row>
    <row r="22" spans="4:5" x14ac:dyDescent="0.45">
      <c r="D22" t="s">
        <v>61</v>
      </c>
      <c r="E22" t="s">
        <v>84</v>
      </c>
    </row>
    <row r="23" spans="4:5" x14ac:dyDescent="0.45">
      <c r="D23" t="s">
        <v>62</v>
      </c>
      <c r="E23" t="s">
        <v>85</v>
      </c>
    </row>
  </sheetData>
  <mergeCells count="3">
    <mergeCell ref="A1:B1"/>
    <mergeCell ref="D1:E1"/>
    <mergeCell ref="K1:L1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G45"/>
  <sheetViews>
    <sheetView workbookViewId="0">
      <selection activeCell="A2" sqref="A2"/>
    </sheetView>
  </sheetViews>
  <sheetFormatPr defaultRowHeight="18" x14ac:dyDescent="0.45"/>
  <cols>
    <col min="1" max="1" width="12.3984375" bestFit="1" customWidth="1"/>
    <col min="3" max="3" width="13" bestFit="1" customWidth="1"/>
    <col min="4" max="4" width="13.19921875" customWidth="1"/>
    <col min="5" max="5" width="19.19921875" customWidth="1"/>
    <col min="6" max="6" width="26.09765625" customWidth="1"/>
    <col min="7" max="7" width="75.8984375" customWidth="1"/>
  </cols>
  <sheetData>
    <row r="1" spans="1:7" x14ac:dyDescent="0.45">
      <c r="A1" t="s">
        <v>2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3</v>
      </c>
    </row>
    <row r="2" spans="1:7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33</v>
      </c>
      <c r="D2">
        <v>-1</v>
      </c>
      <c r="G2" t="s">
        <v>39</v>
      </c>
    </row>
    <row r="3" spans="1:7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33</v>
      </c>
      <c r="D3">
        <v>-1</v>
      </c>
      <c r="G3" t="s">
        <v>40</v>
      </c>
    </row>
    <row r="4" spans="1:7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33</v>
      </c>
      <c r="D4">
        <v>-1</v>
      </c>
      <c r="G4" t="s">
        <v>40</v>
      </c>
    </row>
    <row r="5" spans="1:7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-1</v>
      </c>
      <c r="G5" t="s">
        <v>40</v>
      </c>
    </row>
    <row r="6" spans="1:7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33</v>
      </c>
      <c r="D6">
        <v>-1</v>
      </c>
      <c r="G6" t="s">
        <v>40</v>
      </c>
    </row>
    <row r="7" spans="1:7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33</v>
      </c>
      <c r="D7">
        <v>-1</v>
      </c>
      <c r="G7" t="s">
        <v>40</v>
      </c>
    </row>
    <row r="8" spans="1:7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33</v>
      </c>
      <c r="D8">
        <v>-1</v>
      </c>
      <c r="G8" t="s">
        <v>40</v>
      </c>
    </row>
    <row r="9" spans="1:7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33</v>
      </c>
      <c r="D9">
        <v>-1</v>
      </c>
      <c r="G9" t="s">
        <v>40</v>
      </c>
    </row>
    <row r="10" spans="1:7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-1</v>
      </c>
      <c r="G10" t="s">
        <v>40</v>
      </c>
    </row>
    <row r="11" spans="1:7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33</v>
      </c>
      <c r="D11">
        <v>-1</v>
      </c>
      <c r="G11" t="s">
        <v>40</v>
      </c>
    </row>
    <row r="12" spans="1:7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33</v>
      </c>
      <c r="D12">
        <v>-1</v>
      </c>
      <c r="G12" t="s">
        <v>40</v>
      </c>
    </row>
    <row r="13" spans="1:7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-1</v>
      </c>
      <c r="G13" t="s">
        <v>40</v>
      </c>
    </row>
    <row r="14" spans="1:7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-1</v>
      </c>
      <c r="G14" t="s">
        <v>40</v>
      </c>
    </row>
    <row r="15" spans="1:7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-1</v>
      </c>
      <c r="G15" t="s">
        <v>40</v>
      </c>
    </row>
    <row r="16" spans="1:7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33</v>
      </c>
      <c r="D16">
        <v>-1</v>
      </c>
      <c r="G16" t="s">
        <v>40</v>
      </c>
    </row>
    <row r="17" spans="1:7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33</v>
      </c>
      <c r="D17">
        <v>-1</v>
      </c>
      <c r="G17" t="s">
        <v>40</v>
      </c>
    </row>
    <row r="18" spans="1:7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33</v>
      </c>
      <c r="D18">
        <v>-1</v>
      </c>
      <c r="G18" t="s">
        <v>40</v>
      </c>
    </row>
    <row r="19" spans="1:7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33</v>
      </c>
      <c r="D19">
        <v>-1</v>
      </c>
      <c r="G19" t="s">
        <v>40</v>
      </c>
    </row>
    <row r="20" spans="1:7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33</v>
      </c>
      <c r="D20">
        <v>-1</v>
      </c>
      <c r="G20" t="s">
        <v>40</v>
      </c>
    </row>
    <row r="21" spans="1:7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33</v>
      </c>
      <c r="D21">
        <v>-1</v>
      </c>
      <c r="G21" t="s">
        <v>40</v>
      </c>
    </row>
    <row r="22" spans="1:7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-1</v>
      </c>
      <c r="G22" t="s">
        <v>40</v>
      </c>
    </row>
    <row r="23" spans="1:7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-1</v>
      </c>
      <c r="G23" t="s">
        <v>40</v>
      </c>
    </row>
    <row r="24" spans="1:7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-1</v>
      </c>
      <c r="G24" t="s">
        <v>40</v>
      </c>
    </row>
    <row r="25" spans="1:7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-1</v>
      </c>
      <c r="G25" t="s">
        <v>40</v>
      </c>
    </row>
    <row r="26" spans="1:7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-1</v>
      </c>
      <c r="G26" t="s">
        <v>40</v>
      </c>
    </row>
    <row r="27" spans="1:7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33</v>
      </c>
      <c r="D27">
        <v>-1</v>
      </c>
      <c r="G27" t="s">
        <v>40</v>
      </c>
    </row>
    <row r="28" spans="1:7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33</v>
      </c>
      <c r="D28">
        <v>-1</v>
      </c>
      <c r="G28" t="s">
        <v>40</v>
      </c>
    </row>
    <row r="29" spans="1:7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33</v>
      </c>
      <c r="D29">
        <v>-1</v>
      </c>
      <c r="G29" t="s">
        <v>40</v>
      </c>
    </row>
    <row r="30" spans="1:7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33</v>
      </c>
      <c r="D30">
        <v>-1</v>
      </c>
      <c r="G30" t="s">
        <v>40</v>
      </c>
    </row>
    <row r="31" spans="1:7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33</v>
      </c>
      <c r="D31">
        <v>-1</v>
      </c>
      <c r="G31" t="s">
        <v>40</v>
      </c>
    </row>
    <row r="32" spans="1:7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33</v>
      </c>
      <c r="D32">
        <v>-1</v>
      </c>
      <c r="G32" t="s">
        <v>40</v>
      </c>
    </row>
    <row r="33" spans="1:7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-1</v>
      </c>
      <c r="G33" t="s">
        <v>40</v>
      </c>
    </row>
    <row r="34" spans="1:7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-1</v>
      </c>
      <c r="G34" t="s">
        <v>40</v>
      </c>
    </row>
    <row r="35" spans="1:7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33</v>
      </c>
      <c r="D35">
        <v>-1</v>
      </c>
      <c r="G35" t="s">
        <v>40</v>
      </c>
    </row>
    <row r="36" spans="1:7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-1</v>
      </c>
      <c r="G36" t="s">
        <v>40</v>
      </c>
    </row>
    <row r="37" spans="1:7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-1</v>
      </c>
      <c r="G37" t="s">
        <v>40</v>
      </c>
    </row>
    <row r="38" spans="1:7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-1</v>
      </c>
      <c r="G38" t="s">
        <v>40</v>
      </c>
    </row>
    <row r="39" spans="1:7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-1</v>
      </c>
      <c r="G39" t="s">
        <v>40</v>
      </c>
    </row>
    <row r="40" spans="1:7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-1</v>
      </c>
      <c r="G40" t="s">
        <v>40</v>
      </c>
    </row>
    <row r="41" spans="1:7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-1</v>
      </c>
      <c r="G41" t="s">
        <v>40</v>
      </c>
    </row>
    <row r="42" spans="1:7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-1</v>
      </c>
      <c r="G42" t="s">
        <v>40</v>
      </c>
    </row>
    <row r="43" spans="1:7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-1</v>
      </c>
      <c r="G43" t="s">
        <v>40</v>
      </c>
    </row>
    <row r="44" spans="1:7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33</v>
      </c>
      <c r="D44">
        <v>-1</v>
      </c>
      <c r="G44" t="s">
        <v>40</v>
      </c>
    </row>
    <row r="45" spans="1:7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33</v>
      </c>
      <c r="D45">
        <v>-1</v>
      </c>
      <c r="G45" t="s">
        <v>40</v>
      </c>
    </row>
  </sheetData>
  <phoneticPr fontId="1"/>
  <dataValidations count="2">
    <dataValidation type="decimal" allowBlank="1" showInputMessage="1" showErrorMessage="1" sqref="D2:D45" xr:uid="{3D03E15D-E7ED-4977-BF66-D8407C5381AF}">
      <formula1>-1</formula1>
      <formula2>300</formula2>
    </dataValidation>
    <dataValidation type="textLength" allowBlank="1" showInputMessage="1" showErrorMessage="1" sqref="G2:G45" xr:uid="{EE204BD4-67A7-473F-935A-110779F70780}">
      <formula1>0</formula1>
      <formula2>100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627C19-F3CD-46AE-978E-67EFA57D941D}">
          <x14:formula1>
            <xm:f>選択用フィールド!$A$2:$A$4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2026-07-16T05:39:27Z</dcterms:modified>
</cp:coreProperties>
</file>