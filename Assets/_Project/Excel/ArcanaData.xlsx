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F9E0EBAF-A26B-496C-A4E8-2088C6E1609D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I2" i="2" s="1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I36" i="2" s="1"/>
  <c r="C37" i="2"/>
  <c r="I37" i="2" s="1"/>
  <c r="C38" i="2"/>
  <c r="I38" i="2" s="1"/>
  <c r="C39" i="2"/>
  <c r="I39" i="2" s="1"/>
  <c r="C40" i="2"/>
  <c r="I40" i="2" s="1"/>
  <c r="C41" i="2"/>
  <c r="I41" i="2" s="1"/>
  <c r="C42" i="2"/>
  <c r="I42" i="2" s="1"/>
  <c r="C43" i="2"/>
  <c r="I43" i="2" s="1"/>
  <c r="C44" i="2"/>
  <c r="I44" i="2" s="1"/>
  <c r="C45" i="2"/>
  <c r="I45" i="2" s="1"/>
  <c r="C3" i="2"/>
  <c r="I3" i="2" s="1"/>
  <c r="C4" i="2"/>
  <c r="I4" i="2" s="1"/>
  <c r="C5" i="2"/>
  <c r="I5" i="2" s="1"/>
  <c r="C6" i="2"/>
  <c r="I6" i="2" s="1"/>
  <c r="C7" i="2"/>
  <c r="I7" i="2" s="1"/>
  <c r="C8" i="2"/>
  <c r="I8" i="2" s="1"/>
  <c r="C9" i="2"/>
  <c r="I9" i="2" s="1"/>
  <c r="C10" i="2"/>
  <c r="I10" i="2" s="1"/>
  <c r="C11" i="2"/>
  <c r="I11" i="2" s="1"/>
  <c r="C12" i="2"/>
  <c r="I12" i="2" s="1"/>
  <c r="C13" i="2"/>
  <c r="I13" i="2" s="1"/>
  <c r="C14" i="2"/>
  <c r="I14" i="2" s="1"/>
  <c r="C15" i="2"/>
  <c r="I15" i="2" s="1"/>
  <c r="C16" i="2"/>
  <c r="I16" i="2" s="1"/>
  <c r="C17" i="2"/>
  <c r="I17" i="2" s="1"/>
  <c r="C18" i="2"/>
  <c r="I18" i="2" s="1"/>
  <c r="C19" i="2"/>
  <c r="I19" i="2" s="1"/>
  <c r="C20" i="2"/>
  <c r="I20" i="2" s="1"/>
  <c r="C21" i="2"/>
  <c r="I21" i="2" s="1"/>
  <c r="C22" i="2"/>
  <c r="I22" i="2" s="1"/>
  <c r="C23" i="2"/>
  <c r="I23" i="2" s="1"/>
  <c r="C24" i="2"/>
  <c r="I24" i="2" s="1"/>
  <c r="C25" i="2"/>
  <c r="I25" i="2" s="1"/>
  <c r="C26" i="2"/>
  <c r="I26" i="2" s="1"/>
  <c r="C27" i="2"/>
  <c r="I27" i="2" s="1"/>
  <c r="C28" i="2"/>
  <c r="I28" i="2" s="1"/>
  <c r="C29" i="2"/>
  <c r="I29" i="2" s="1"/>
  <c r="C30" i="2"/>
  <c r="I30" i="2" s="1"/>
  <c r="C31" i="2"/>
  <c r="I31" i="2" s="1"/>
  <c r="C32" i="2"/>
  <c r="I32" i="2" s="1"/>
  <c r="C33" i="2"/>
  <c r="I33" i="2" s="1"/>
  <c r="C34" i="2"/>
  <c r="I34" i="2" s="1"/>
  <c r="C35" i="2"/>
  <c r="I35" i="2" s="1"/>
</calcChain>
</file>

<file path=xl/sharedStrings.xml><?xml version="1.0" encoding="utf-8"?>
<sst xmlns="http://schemas.openxmlformats.org/spreadsheetml/2006/main" count="264" uniqueCount="141">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</sst>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I45">
  <autoFilter ref="A1:I45" xr:uid="{48DDBA56-844D-4376-B3AF-39BFA95D20A0}"/>
  <tableColumns count="9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7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6">
      <calculatedColumnFormula>VLOOKUP(InputData[[#This Row],[発動条件]],選択用フィールド!$A$2:$B$6,2,FALSE)</calculatedColumnFormula>
    </tableColumn>
    <tableColumn id="5" xr3:uid="{32000BF7-9753-45FD-B2D6-344E111A7D1C}" name="クールタイム" dataDxfId="5">
      <calculatedColumnFormula>InputData[[#This Row],[クールタイム]]</calculatedColumnFormula>
    </tableColumn>
    <tableColumn id="6" xr3:uid="{55BA9E8F-6644-465A-AB88-421F37320DF0}" name="エフェクト" dataDxfId="4">
      <calculatedColumnFormula>選択用フィールド!$G$2&amp;"/"&amp;InputData[[#This Row],[エフェクト]]</calculatedColumnFormula>
    </tableColumn>
    <tableColumn id="7" xr3:uid="{6B3E9D4E-9BFE-45EB-B383-B8876BCA5578}" name="効果音" dataDxfId="3">
      <calculatedColumnFormula>InputData[[#This Row],[効果音]]</calculatedColumnFormula>
    </tableColumn>
    <tableColumn id="8" xr3:uid="{DCFB5C57-5B5E-4F36-8AA3-07C99FB1DC34}" name="説明" totalsRowFunction="count" dataDxfId="2">
      <calculatedColumnFormula>InputData[[#This Row],[説明]]</calculatedColumnFormula>
    </tableColumn>
    <tableColumn id="9" xr3:uid="{8A63BDCB-9472-4EC5-B67D-57234FDEFD85}" name="Key" dataDxfId="1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G45" totalsRowShown="0">
  <autoFilter ref="A1:G45" xr:uid="{E1D23D5A-3AD7-47D8-AA45-95C0A75F6512}"/>
  <tableColumns count="7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I45"/>
  <sheetViews>
    <sheetView workbookViewId="0">
      <selection activeCell="B2" sqref="B2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5" width="13.19921875" customWidth="1"/>
    <col min="6" max="6" width="20.69921875" bestFit="1" customWidth="1"/>
    <col min="7" max="7" width="10.19921875" bestFit="1" customWidth="1"/>
    <col min="8" max="8" width="51.3984375" bestFit="1" customWidth="1"/>
    <col min="9" max="9" width="28.59765625" bestFit="1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3</v>
      </c>
      <c r="I1" t="s">
        <v>81</v>
      </c>
    </row>
    <row r="2" spans="1:9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 t="str">
        <f>選択用フィールド!$G$2&amp;"/"&amp;InputData[[#This Row],[エフェクト]]</f>
        <v>Effect/Arcana/</v>
      </c>
      <c r="G2">
        <f>InputData[[#This Row],[効果音]]</f>
        <v>0</v>
      </c>
      <c r="H2" t="str">
        <f>InputData[[#This Row],[説明]]</f>
        <v>HPを上げるカード</v>
      </c>
      <c r="I2" s="1" t="str">
        <f>"Arcana"&amp;TEXT(A2, "00")&amp;VLOOKUP(ArcanaData[[#This Row],[名前]],選択用フィールド!$D$2:$E$23,2,FALSE)&amp;ArcanaMaster[[#This Row],[位置]]</f>
        <v>Arcana00FoolFront</v>
      </c>
    </row>
    <row r="3" spans="1:9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 t="str">
        <f>選択用フィールド!$G$2&amp;"/"&amp;InputData[[#This Row],[エフェクト]]</f>
        <v>Effect/Arcana/</v>
      </c>
      <c r="G3">
        <f>InputData[[#This Row],[効果音]]</f>
        <v>0</v>
      </c>
      <c r="H3" t="str">
        <f>InputData[[#This Row],[説明]]</f>
        <v>何も持たなくても勝てることが証明できるカード</v>
      </c>
      <c r="I3" s="1" t="str">
        <f>"Arcana"&amp;TEXT(A3, "00")&amp;VLOOKUP(ArcanaData[[#This Row],[名前]],選択用フィールド!$D$2:$E$23,2,FALSE)&amp;ArcanaMaster[[#This Row],[位置]]</f>
        <v>Arcana00FoolBack</v>
      </c>
    </row>
    <row r="4" spans="1:9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 t="str">
        <f>選択用フィールド!$G$2&amp;"/"&amp;InputData[[#This Row],[エフェクト]]</f>
        <v>Effect/Arcana/</v>
      </c>
      <c r="G4">
        <f>InputData[[#This Row],[効果音]]</f>
        <v>0</v>
      </c>
      <c r="H4" t="str">
        <f>InputData[[#This Row],[説明]]</f>
        <v>防御無視を付与できるカード</v>
      </c>
      <c r="I4" s="1" t="str">
        <f>"Arcana"&amp;TEXT(A4, "00")&amp;VLOOKUP(ArcanaData[[#This Row],[名前]],選択用フィールド!$D$2:$E$23,2,FALSE)&amp;ArcanaMaster[[#This Row],[位置]]</f>
        <v>Arcana01MagicianFront</v>
      </c>
    </row>
    <row r="5" spans="1:9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 t="str">
        <f>選択用フィールド!$G$2&amp;"/"&amp;InputData[[#This Row],[エフェクト]]</f>
        <v>Effect/Arcana/Monster</v>
      </c>
      <c r="G5">
        <f>InputData[[#This Row],[効果音]]</f>
        <v>0</v>
      </c>
      <c r="H5" t="str">
        <f>InputData[[#This Row],[説明]]</f>
        <v>召喚物を出せるカード</v>
      </c>
      <c r="I5" s="1" t="str">
        <f>"Arcana"&amp;TEXT(A5, "00")&amp;VLOOKUP(ArcanaData[[#This Row],[名前]],選択用フィールド!$D$2:$E$23,2,FALSE)&amp;ArcanaMaster[[#This Row],[位置]]</f>
        <v>Arcana01MagicianBack</v>
      </c>
    </row>
    <row r="6" spans="1:9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 t="str">
        <f>選択用フィールド!$G$2&amp;"/"&amp;InputData[[#This Row],[エフェクト]]</f>
        <v>Effect/Arcana/</v>
      </c>
      <c r="G6">
        <f>InputData[[#This Row],[効果音]]</f>
        <v>0</v>
      </c>
      <c r="H6" t="str">
        <f>InputData[[#This Row],[説明]]</f>
        <v>時間がたつほど強くなるカード</v>
      </c>
      <c r="I6" s="1" t="str">
        <f>"Arcana"&amp;TEXT(A6, "00")&amp;VLOOKUP(ArcanaData[[#This Row],[名前]],選択用フィールド!$D$2:$E$23,2,FALSE)&amp;ArcanaMaster[[#This Row],[位置]]</f>
        <v>Arcana02HighPriestessFront</v>
      </c>
    </row>
    <row r="7" spans="1:9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 t="str">
        <f>選択用フィールド!$G$2&amp;"/"&amp;InputData[[#This Row],[エフェクト]]</f>
        <v>Effect/Arcana/</v>
      </c>
      <c r="G7">
        <f>InputData[[#This Row],[効果音]]</f>
        <v>0</v>
      </c>
      <c r="H7" t="str">
        <f>InputData[[#This Row],[説明]]</f>
        <v>時間がたつほど弱くなるカード</v>
      </c>
      <c r="I7" s="1" t="str">
        <f>"Arcana"&amp;TEXT(A7, "00")&amp;VLOOKUP(ArcanaData[[#This Row],[名前]],選択用フィールド!$D$2:$E$23,2,FALSE)&amp;ArcanaMaster[[#This Row],[位置]]</f>
        <v>Arcana02HighPriestessBack</v>
      </c>
    </row>
    <row r="8" spans="1:9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 t="str">
        <f>選択用フィールド!$G$2&amp;"/"&amp;InputData[[#This Row],[エフェクト]]</f>
        <v>Effect/Arcana/</v>
      </c>
      <c r="G8">
        <f>InputData[[#This Row],[効果音]]</f>
        <v>0</v>
      </c>
      <c r="H8" t="str">
        <f>InputData[[#This Row],[説明]]</f>
        <v>自然治癒を付与するカード</v>
      </c>
      <c r="I8" s="1" t="str">
        <f>"Arcana"&amp;TEXT(A8, "00")&amp;VLOOKUP(ArcanaData[[#This Row],[名前]],選択用フィールド!$D$2:$E$23,2,FALSE)&amp;ArcanaMaster[[#This Row],[位置]]</f>
        <v>Arcana03EmpressFront</v>
      </c>
    </row>
    <row r="9" spans="1:9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 t="str">
        <f>選択用フィールド!$G$2&amp;"/"&amp;InputData[[#This Row],[エフェクト]]</f>
        <v>Effect/Arcana/Dice</v>
      </c>
      <c r="G9">
        <f>InputData[[#This Row],[効果音]]</f>
        <v>0</v>
      </c>
      <c r="H9" t="str">
        <f>InputData[[#This Row],[説明]]</f>
        <v>ランダムでバフやデバフがつくカード</v>
      </c>
      <c r="I9" s="1" t="str">
        <f>"Arcana"&amp;TEXT(A9, "00")&amp;VLOOKUP(ArcanaData[[#This Row],[名前]],選択用フィールド!$D$2:$E$23,2,FALSE)&amp;ArcanaMaster[[#This Row],[位置]]</f>
        <v>Arcana03EmpressBack</v>
      </c>
    </row>
    <row r="10" spans="1:9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 t="str">
        <f>選択用フィールド!$G$2&amp;"/"&amp;InputData[[#This Row],[エフェクト]]</f>
        <v>Effect/Arcana/</v>
      </c>
      <c r="G10">
        <f>InputData[[#This Row],[効果音]]</f>
        <v>0</v>
      </c>
      <c r="H10" t="str">
        <f>InputData[[#This Row],[説明]]</f>
        <v>スキル禁止を付与するカード</v>
      </c>
      <c r="I10" s="1" t="str">
        <f>"Arcana"&amp;TEXT(A10, "00")&amp;VLOOKUP(ArcanaData[[#This Row],[名前]],選択用フィールド!$D$2:$E$23,2,FALSE)&amp;ArcanaMaster[[#This Row],[位置]]</f>
        <v>Arcana04EmperorFront</v>
      </c>
    </row>
    <row r="11" spans="1:9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 t="str">
        <f>選択用フィールド!$G$2&amp;"/"&amp;InputData[[#This Row],[エフェクト]]</f>
        <v>Effect/Arcana/</v>
      </c>
      <c r="G11">
        <f>InputData[[#This Row],[効果音]]</f>
        <v>0</v>
      </c>
      <c r="H11" t="str">
        <f>InputData[[#This Row],[説明]]</f>
        <v>通常攻撃は振れないがダメージが上がるカード</v>
      </c>
      <c r="I11" s="1" t="str">
        <f>"Arcana"&amp;TEXT(A11, "00")&amp;VLOOKUP(ArcanaData[[#This Row],[名前]],選択用フィールド!$D$2:$E$23,2,FALSE)&amp;ArcanaMaster[[#This Row],[位置]]</f>
        <v>Arcana04EmperorBack</v>
      </c>
    </row>
    <row r="12" spans="1:9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 t="str">
        <f>選択用フィールド!$G$2&amp;"/"&amp;InputData[[#This Row],[エフェクト]]</f>
        <v>Effect/Arcana/</v>
      </c>
      <c r="G12">
        <f>InputData[[#This Row],[効果音]]</f>
        <v>0</v>
      </c>
      <c r="H12" t="str">
        <f>InputData[[#This Row],[説明]]</f>
        <v>スキルの当たり判定が大きくなるカード</v>
      </c>
      <c r="I12" s="1" t="str">
        <f>"Arcana"&amp;TEXT(A12, "00")&amp;VLOOKUP(ArcanaData[[#This Row],[名前]],選択用フィールド!$D$2:$E$23,2,FALSE)&amp;ArcanaMaster[[#This Row],[位置]]</f>
        <v>Arcana05HierophantFront</v>
      </c>
    </row>
    <row r="13" spans="1:9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 t="str">
        <f>選択用フィールド!$G$2&amp;"/"&amp;InputData[[#This Row],[エフェクト]]</f>
        <v>Effect/Arcana/</v>
      </c>
      <c r="G13">
        <f>InputData[[#This Row],[効果音]]</f>
        <v>0</v>
      </c>
      <c r="H13" t="str">
        <f>InputData[[#This Row],[説明]]</f>
        <v>敵の行動を逆にするカード</v>
      </c>
      <c r="I13" s="1" t="str">
        <f>"Arcana"&amp;TEXT(A13, "00")&amp;VLOOKUP(ArcanaData[[#This Row],[名前]],選択用フィールド!$D$2:$E$23,2,FALSE)&amp;ArcanaMaster[[#This Row],[位置]]</f>
        <v>Arcana05HierophantBack</v>
      </c>
    </row>
    <row r="14" spans="1:9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 t="str">
        <f>選択用フィールド!$G$2&amp;"/"&amp;InputData[[#This Row],[エフェクト]]</f>
        <v>Effect/Arcana/</v>
      </c>
      <c r="G14">
        <f>InputData[[#This Row],[効果音]]</f>
        <v>0</v>
      </c>
      <c r="H14" t="str">
        <f>InputData[[#This Row],[説明]]</f>
        <v>敵がダメージを肩代わりしてくれるカード</v>
      </c>
      <c r="I14" s="1" t="str">
        <f>"Arcana"&amp;TEXT(A14, "00")&amp;VLOOKUP(ArcanaData[[#This Row],[名前]],選択用フィールド!$D$2:$E$23,2,FALSE)&amp;ArcanaMaster[[#This Row],[位置]]</f>
        <v>Arcana06LoversFront</v>
      </c>
    </row>
    <row r="15" spans="1:9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 t="str">
        <f>選択用フィールド!$G$2&amp;"/"&amp;InputData[[#This Row],[エフェクト]]</f>
        <v>Effect/Arcana/</v>
      </c>
      <c r="G15">
        <f>InputData[[#This Row],[効果音]]</f>
        <v>0</v>
      </c>
      <c r="H15" t="str">
        <f>InputData[[#This Row],[説明]]</f>
        <v>自分以外の視界を暗くするカード</v>
      </c>
      <c r="I15" s="1" t="str">
        <f>"Arcana"&amp;TEXT(A15, "00")&amp;VLOOKUP(ArcanaData[[#This Row],[名前]],選択用フィールド!$D$2:$E$23,2,FALSE)&amp;ArcanaMaster[[#This Row],[位置]]</f>
        <v>Arcana06LoversBack</v>
      </c>
    </row>
    <row r="16" spans="1:9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 t="str">
        <f>選択用フィールド!$G$2&amp;"/"&amp;InputData[[#This Row],[エフェクト]]</f>
        <v>Effect/Arcana/</v>
      </c>
      <c r="G16">
        <f>InputData[[#This Row],[効果音]]</f>
        <v>0</v>
      </c>
      <c r="H16" t="str">
        <f>InputData[[#This Row],[説明]]</f>
        <v>移動速度が速くなるカード</v>
      </c>
      <c r="I16" s="1" t="str">
        <f>"Arcana"&amp;TEXT(A16, "00")&amp;VLOOKUP(ArcanaData[[#This Row],[名前]],選択用フィールド!$D$2:$E$23,2,FALSE)&amp;ArcanaMaster[[#This Row],[位置]]</f>
        <v>Arcana07ChariotFront</v>
      </c>
    </row>
    <row r="17" spans="1:9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 t="str">
        <f>選択用フィールド!$G$2&amp;"/"&amp;InputData[[#This Row],[エフェクト]]</f>
        <v>Effect/Arcana/</v>
      </c>
      <c r="G17">
        <f>InputData[[#This Row],[効果音]]</f>
        <v>0</v>
      </c>
      <c r="H17" t="str">
        <f>InputData[[#This Row],[説明]]</f>
        <v>スキル発動の予備動作の時間が半分になるカード</v>
      </c>
      <c r="I17" s="1" t="str">
        <f>"Arcana"&amp;TEXT(A17, "00")&amp;VLOOKUP(ArcanaData[[#This Row],[名前]],選択用フィールド!$D$2:$E$23,2,FALSE)&amp;ArcanaMaster[[#This Row],[位置]]</f>
        <v>Arcana07ChariotBack</v>
      </c>
    </row>
    <row r="18" spans="1:9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 t="str">
        <f>選択用フィールド!$G$2&amp;"/"&amp;InputData[[#This Row],[エフェクト]]</f>
        <v>Effect/Arcana/</v>
      </c>
      <c r="G18">
        <f>InputData[[#This Row],[効果音]]</f>
        <v>0</v>
      </c>
      <c r="H18" t="str">
        <f>InputData[[#This Row],[説明]]</f>
        <v>攻撃力を上げるカード</v>
      </c>
      <c r="I18" s="1" t="str">
        <f>"Arcana"&amp;TEXT(A18, "00")&amp;VLOOKUP(ArcanaData[[#This Row],[名前]],選択用フィールド!$D$2:$E$23,2,FALSE)&amp;ArcanaMaster[[#This Row],[位置]]</f>
        <v>Arcana08StrengthFront</v>
      </c>
    </row>
    <row r="19" spans="1:9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 t="str">
        <f>選択用フィールド!$G$2&amp;"/"&amp;InputData[[#This Row],[エフェクト]]</f>
        <v>Effect/Arcana/</v>
      </c>
      <c r="G19">
        <f>InputData[[#This Row],[効果音]]</f>
        <v>0</v>
      </c>
      <c r="H19" t="str">
        <f>InputData[[#This Row],[説明]]</f>
        <v>HPが減るたび他のステータスが上がるカード</v>
      </c>
      <c r="I19" s="1" t="str">
        <f>"Arcana"&amp;TEXT(A19, "00")&amp;VLOOKUP(ArcanaData[[#This Row],[名前]],選択用フィールド!$D$2:$E$23,2,FALSE)&amp;ArcanaMaster[[#This Row],[位置]]</f>
        <v>Arcana08StrengthBack</v>
      </c>
    </row>
    <row r="20" spans="1:9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 t="str">
        <f>選択用フィールド!$G$2&amp;"/"&amp;InputData[[#This Row],[エフェクト]]</f>
        <v>Effect/Arcana/</v>
      </c>
      <c r="G20">
        <f>InputData[[#This Row],[効果音]]</f>
        <v>0</v>
      </c>
      <c r="H20" t="str">
        <f>InputData[[#This Row],[説明]]</f>
        <v>人が回復したHPを半分奪うカード</v>
      </c>
      <c r="I20" s="1" t="str">
        <f>"Arcana"&amp;TEXT(A20, "00")&amp;VLOOKUP(ArcanaData[[#This Row],[名前]],選択用フィールド!$D$2:$E$23,2,FALSE)&amp;ArcanaMaster[[#This Row],[位置]]</f>
        <v>Arcana09HermitFront</v>
      </c>
    </row>
    <row r="21" spans="1:9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 t="str">
        <f>選択用フィールド!$G$2&amp;"/"&amp;InputData[[#This Row],[エフェクト]]</f>
        <v>Effect/Arcana/Trap</v>
      </c>
      <c r="G21">
        <f>InputData[[#This Row],[効果音]]</f>
        <v>0</v>
      </c>
      <c r="H21" t="str">
        <f>InputData[[#This Row],[説明]]</f>
        <v>トラップを設置するカード</v>
      </c>
      <c r="I21" s="1" t="str">
        <f>"Arcana"&amp;TEXT(A21, "00")&amp;VLOOKUP(ArcanaData[[#This Row],[名前]],選択用フィールド!$D$2:$E$23,2,FALSE)&amp;ArcanaMaster[[#This Row],[位置]]</f>
        <v>Arcana09HermitBack</v>
      </c>
    </row>
    <row r="22" spans="1:9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 t="str">
        <f>選択用フィールド!$G$2&amp;"/"&amp;InputData[[#This Row],[エフェクト]]</f>
        <v>Effect/Arcana/</v>
      </c>
      <c r="G22">
        <f>InputData[[#This Row],[効果音]]</f>
        <v>0</v>
      </c>
      <c r="H22" t="str">
        <f>InputData[[#This Row],[説明]]</f>
        <v>ランダムな場所にテレポートするカード</v>
      </c>
      <c r="I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9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 t="str">
        <f>選択用フィールド!$G$2&amp;"/"&amp;InputData[[#This Row],[エフェクト]]</f>
        <v>Effect/Arcana/</v>
      </c>
      <c r="G23">
        <f>InputData[[#This Row],[効果音]]</f>
        <v>0</v>
      </c>
      <c r="H23" t="str">
        <f>InputData[[#This Row],[説明]]</f>
        <v>敵をジャンプ禁止にするカード</v>
      </c>
      <c r="I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9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 t="str">
        <f>選択用フィールド!$G$2&amp;"/"&amp;InputData[[#This Row],[エフェクト]]</f>
        <v>Effect/Arcana/</v>
      </c>
      <c r="G24">
        <f>InputData[[#This Row],[効果音]]</f>
        <v>0</v>
      </c>
      <c r="H24" t="str">
        <f>InputData[[#This Row],[説明]]</f>
        <v>敵に一定のダメージを与えるカード</v>
      </c>
      <c r="I24" s="1" t="str">
        <f>"Arcana"&amp;TEXT(A24, "00")&amp;VLOOKUP(ArcanaData[[#This Row],[名前]],選択用フィールド!$D$2:$E$23,2,FALSE)&amp;ArcanaMaster[[#This Row],[位置]]</f>
        <v>Arcana11JusticeFront</v>
      </c>
    </row>
    <row r="25" spans="1:9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 t="str">
        <f>選択用フィールド!$G$2&amp;"/"&amp;InputData[[#This Row],[エフェクト]]</f>
        <v>Effect/Arcana/</v>
      </c>
      <c r="G25">
        <f>InputData[[#This Row],[効果音]]</f>
        <v>0</v>
      </c>
      <c r="H25" t="str">
        <f>InputData[[#This Row],[説明]]</f>
        <v>カウンターを付与するカード</v>
      </c>
      <c r="I25" s="1" t="str">
        <f>"Arcana"&amp;TEXT(A25, "00")&amp;VLOOKUP(ArcanaData[[#This Row],[名前]],選択用フィールド!$D$2:$E$23,2,FALSE)&amp;ArcanaMaster[[#This Row],[位置]]</f>
        <v>Arcana11JusticeBack</v>
      </c>
    </row>
    <row r="26" spans="1:9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 t="str">
        <f>選択用フィールド!$G$2&amp;"/"&amp;InputData[[#This Row],[エフェクト]]</f>
        <v>Effect/Arcana/</v>
      </c>
      <c r="G26">
        <f>InputData[[#This Row],[効果音]]</f>
        <v>0</v>
      </c>
      <c r="H26" t="str">
        <f>InputData[[#This Row],[説明]]</f>
        <v>視点が反対になるカード</v>
      </c>
      <c r="I26" s="1" t="str">
        <f>"Arcana"&amp;TEXT(A26, "00")&amp;VLOOKUP(ArcanaData[[#This Row],[名前]],選択用フィールド!$D$2:$E$23,2,FALSE)&amp;ArcanaMaster[[#This Row],[位置]]</f>
        <v>Arcana12HangedManFront</v>
      </c>
    </row>
    <row r="27" spans="1:9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 t="str">
        <f>選択用フィールド!$G$2&amp;"/"&amp;InputData[[#This Row],[エフェクト]]</f>
        <v>Effect/Arcana/</v>
      </c>
      <c r="G27">
        <f>InputData[[#This Row],[効果音]]</f>
        <v>0</v>
      </c>
      <c r="H27" t="str">
        <f>InputData[[#This Row],[説明]]</f>
        <v>運気が上がるカード</v>
      </c>
      <c r="I27" s="1" t="str">
        <f>"Arcana"&amp;TEXT(A27, "00")&amp;VLOOKUP(ArcanaData[[#This Row],[名前]],選択用フィールド!$D$2:$E$23,2,FALSE)&amp;ArcanaMaster[[#This Row],[位置]]</f>
        <v>Arcana12HangedManBack</v>
      </c>
    </row>
    <row r="28" spans="1:9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 t="str">
        <f>選択用フィールド!$G$2&amp;"/"&amp;InputData[[#This Row],[エフェクト]]</f>
        <v>Effect/Arcana/</v>
      </c>
      <c r="G28">
        <f>InputData[[#This Row],[効果音]]</f>
        <v>0</v>
      </c>
      <c r="H28" t="str">
        <f>InputData[[#This Row],[説明]]</f>
        <v>#</v>
      </c>
      <c r="I28" s="1" t="str">
        <f>"Arcana"&amp;TEXT(A28, "00")&amp;VLOOKUP(ArcanaData[[#This Row],[名前]],選択用フィールド!$D$2:$E$23,2,FALSE)&amp;ArcanaMaster[[#This Row],[位置]]</f>
        <v>Arcana13DeathFront</v>
      </c>
    </row>
    <row r="29" spans="1:9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 t="str">
        <f>選択用フィールド!$G$2&amp;"/"&amp;InputData[[#This Row],[エフェクト]]</f>
        <v>Effect/Arcana/</v>
      </c>
      <c r="G29">
        <f>InputData[[#This Row],[効果音]]</f>
        <v>0</v>
      </c>
      <c r="H29" t="str">
        <f>InputData[[#This Row],[説明]]</f>
        <v>相手にダメージを与えたときに回復するカード</v>
      </c>
      <c r="I29" s="1" t="str">
        <f>"Arcana"&amp;TEXT(A29, "00")&amp;VLOOKUP(ArcanaData[[#This Row],[名前]],選択用フィールド!$D$2:$E$23,2,FALSE)&amp;ArcanaMaster[[#This Row],[位置]]</f>
        <v>Arcana13DeathBack</v>
      </c>
    </row>
    <row r="30" spans="1:9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 t="str">
        <f>選択用フィールド!$G$2&amp;"/"&amp;InputData[[#This Row],[エフェクト]]</f>
        <v>Effect/Arcana/</v>
      </c>
      <c r="G30">
        <f>InputData[[#This Row],[効果音]]</f>
        <v>0</v>
      </c>
      <c r="H30" t="str">
        <f>InputData[[#This Row],[説明]]</f>
        <v>自分のスキルのクールタイムを早くするカード</v>
      </c>
      <c r="I30" s="1" t="str">
        <f>"Arcana"&amp;TEXT(A30, "00")&amp;VLOOKUP(ArcanaData[[#This Row],[名前]],選択用フィールド!$D$2:$E$23,2,FALSE)&amp;ArcanaMaster[[#This Row],[位置]]</f>
        <v>Arcana14TemperanceFront</v>
      </c>
    </row>
    <row r="31" spans="1:9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 t="str">
        <f>選択用フィールド!$G$2&amp;"/"&amp;InputData[[#This Row],[エフェクト]]</f>
        <v>Effect/Arcana/</v>
      </c>
      <c r="G31">
        <f>InputData[[#This Row],[効果音]]</f>
        <v>0</v>
      </c>
      <c r="H31" t="str">
        <f>InputData[[#This Row],[説明]]</f>
        <v>敵のクールタイムを遅くするカード</v>
      </c>
      <c r="I31" s="1" t="str">
        <f>"Arcana"&amp;TEXT(A31, "00")&amp;VLOOKUP(ArcanaData[[#This Row],[名前]],選択用フィールド!$D$2:$E$23,2,FALSE)&amp;ArcanaMaster[[#This Row],[位置]]</f>
        <v>Arcana14TemperanceBack</v>
      </c>
    </row>
    <row r="32" spans="1:9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 t="str">
        <f>選択用フィールド!$G$2&amp;"/"&amp;InputData[[#This Row],[エフェクト]]</f>
        <v>Effect/Arcana/</v>
      </c>
      <c r="G32">
        <f>InputData[[#This Row],[効果音]]</f>
        <v>0</v>
      </c>
      <c r="H32" t="str">
        <f>InputData[[#This Row],[説明]]</f>
        <v>#</v>
      </c>
      <c r="I32" s="1" t="str">
        <f>"Arcana"&amp;TEXT(A32, "00")&amp;VLOOKUP(ArcanaData[[#This Row],[名前]],選択用フィールド!$D$2:$E$23,2,FALSE)&amp;ArcanaMaster[[#This Row],[位置]]</f>
        <v>Arcana15DevilFront</v>
      </c>
    </row>
    <row r="33" spans="1:9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 t="str">
        <f>選択用フィールド!$G$2&amp;"/"&amp;InputData[[#This Row],[エフェクト]]</f>
        <v>Effect/Arcana/</v>
      </c>
      <c r="G33">
        <f>InputData[[#This Row],[効果音]]</f>
        <v>0</v>
      </c>
      <c r="H33" t="str">
        <f>InputData[[#This Row],[説明]]</f>
        <v>自分のバフ・デバフを消し、その分攻撃力が上がるカード</v>
      </c>
      <c r="I33" s="1" t="str">
        <f>"Arcana"&amp;TEXT(A33, "00")&amp;VLOOKUP(ArcanaData[[#This Row],[名前]],選択用フィールド!$D$2:$E$23,2,FALSE)&amp;ArcanaMaster[[#This Row],[位置]]</f>
        <v>Arcana15DevilBack</v>
      </c>
    </row>
    <row r="34" spans="1:9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 t="str">
        <f>選択用フィールド!$G$2&amp;"/"&amp;InputData[[#This Row],[エフェクト]]</f>
        <v>Effect/Arcana/Turret</v>
      </c>
      <c r="G34">
        <f>InputData[[#This Row],[効果音]]</f>
        <v>0</v>
      </c>
      <c r="H34" t="str">
        <f>InputData[[#This Row],[説明]]</f>
        <v>タレットがおけるカード</v>
      </c>
      <c r="I34" s="1" t="str">
        <f>"Arcana"&amp;TEXT(A34, "00")&amp;VLOOKUP(ArcanaData[[#This Row],[名前]],選択用フィールド!$D$2:$E$23,2,FALSE)&amp;ArcanaMaster[[#This Row],[位置]]</f>
        <v>Arcana16TowerFront</v>
      </c>
    </row>
    <row r="35" spans="1:9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 t="str">
        <f>選択用フィールド!$G$2&amp;"/"&amp;InputData[[#This Row],[エフェクト]]</f>
        <v>Effect/Arcana/</v>
      </c>
      <c r="G35">
        <f>InputData[[#This Row],[効果音]]</f>
        <v>0</v>
      </c>
      <c r="H35" t="str">
        <f>InputData[[#This Row],[説明]]</f>
        <v>確率で数秒後にスキルが再発動するカード</v>
      </c>
      <c r="I35" s="1" t="str">
        <f>"Arcana"&amp;TEXT(A35, "00")&amp;VLOOKUP(ArcanaData[[#This Row],[名前]],選択用フィールド!$D$2:$E$23,2,FALSE)&amp;ArcanaMaster[[#This Row],[位置]]</f>
        <v>Arcana16TowerBack</v>
      </c>
    </row>
    <row r="36" spans="1:9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 t="str">
        <f>選択用フィールド!$G$2&amp;"/"&amp;InputData[[#This Row],[エフェクト]]</f>
        <v>Effect/Arcana/</v>
      </c>
      <c r="G36">
        <f>InputData[[#This Row],[効果音]]</f>
        <v>0</v>
      </c>
      <c r="H36" t="str">
        <f>InputData[[#This Row],[説明]]</f>
        <v>あなたが注目を浴びるカード</v>
      </c>
      <c r="I36" s="1" t="str">
        <f>"Arcana"&amp;TEXT(A36, "00")&amp;VLOOKUP(ArcanaData[[#This Row],[名前]],選択用フィールド!$D$2:$E$23,2,FALSE)&amp;ArcanaMaster[[#This Row],[位置]]</f>
        <v>Arcana17StarFront</v>
      </c>
    </row>
    <row r="37" spans="1:9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 t="str">
        <f>選択用フィールド!$G$2&amp;"/"&amp;InputData[[#This Row],[エフェクト]]</f>
        <v>Effect/Arcana/</v>
      </c>
      <c r="G37">
        <f>InputData[[#This Row],[効果音]]</f>
        <v>0</v>
      </c>
      <c r="H37" t="str">
        <f>InputData[[#This Row],[説明]]</f>
        <v>無敵を付与するカード</v>
      </c>
      <c r="I37" s="1" t="str">
        <f>"Arcana"&amp;TEXT(A37, "00")&amp;VLOOKUP(ArcanaData[[#This Row],[名前]],選択用フィールド!$D$2:$E$23,2,FALSE)&amp;ArcanaMaster[[#This Row],[位置]]</f>
        <v>Arcana17StarBack</v>
      </c>
    </row>
    <row r="38" spans="1:9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 t="str">
        <f>選択用フィールド!$G$2&amp;"/"&amp;InputData[[#This Row],[エフェクト]]</f>
        <v>Effect/Arcana/</v>
      </c>
      <c r="G38">
        <f>InputData[[#This Row],[効果音]]</f>
        <v>0</v>
      </c>
      <c r="H38" t="str">
        <f>InputData[[#This Row],[説明]]</f>
        <v>#</v>
      </c>
      <c r="I38" s="1" t="str">
        <f>"Arcana"&amp;TEXT(A38, "00")&amp;VLOOKUP(ArcanaData[[#This Row],[名前]],選択用フィールド!$D$2:$E$23,2,FALSE)&amp;ArcanaMaster[[#This Row],[位置]]</f>
        <v>Arcana18MoonFront</v>
      </c>
    </row>
    <row r="39" spans="1:9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-1</v>
      </c>
      <c r="F39" t="str">
        <f>選択用フィールド!$G$2&amp;"/"&amp;InputData[[#This Row],[エフェクト]]</f>
        <v>Effect/Arcana/</v>
      </c>
      <c r="G39">
        <f>InputData[[#This Row],[効果音]]</f>
        <v>0</v>
      </c>
      <c r="H39" t="str">
        <f>InputData[[#This Row],[説明]]</f>
        <v>#</v>
      </c>
      <c r="I39" s="1" t="str">
        <f>"Arcana"&amp;TEXT(A39, "00")&amp;VLOOKUP(ArcanaData[[#This Row],[名前]],選択用フィールド!$D$2:$E$23,2,FALSE)&amp;ArcanaMaster[[#This Row],[位置]]</f>
        <v>Arcana18MoonBack</v>
      </c>
    </row>
    <row r="40" spans="1:9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 t="str">
        <f>選択用フィールド!$G$2&amp;"/"&amp;InputData[[#This Row],[エフェクト]]</f>
        <v>Effect/Arcana/</v>
      </c>
      <c r="G40">
        <f>InputData[[#This Row],[効果音]]</f>
        <v>0</v>
      </c>
      <c r="H40" t="str">
        <f>InputData[[#This Row],[説明]]</f>
        <v>晴れ日和になるカード</v>
      </c>
      <c r="I40" s="1" t="str">
        <f>"Arcana"&amp;TEXT(A40, "00")&amp;VLOOKUP(ArcanaData[[#This Row],[名前]],選択用フィールド!$D$2:$E$23,2,FALSE)&amp;ArcanaMaster[[#This Row],[位置]]</f>
        <v>Arcana19SunFront</v>
      </c>
    </row>
    <row r="41" spans="1:9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 t="str">
        <f>選択用フィールド!$G$2&amp;"/"&amp;InputData[[#This Row],[エフェクト]]</f>
        <v>Effect/Arcana/</v>
      </c>
      <c r="G41">
        <f>InputData[[#This Row],[効果音]]</f>
        <v>0</v>
      </c>
      <c r="H41" t="str">
        <f>InputData[[#This Row],[説明]]</f>
        <v>敵をスタンするカード</v>
      </c>
      <c r="I41" s="1" t="str">
        <f>"Arcana"&amp;TEXT(A41, "00")&amp;VLOOKUP(ArcanaData[[#This Row],[名前]],選択用フィールド!$D$2:$E$23,2,FALSE)&amp;ArcanaMaster[[#This Row],[位置]]</f>
        <v>Arcana19SunBack</v>
      </c>
    </row>
    <row r="42" spans="1:9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StartEffect</v>
      </c>
      <c r="E42">
        <f>InputData[[#This Row],[クールタイム]]</f>
        <v>-1</v>
      </c>
      <c r="F42" t="str">
        <f>選択用フィールド!$G$2&amp;"/"&amp;InputData[[#This Row],[エフェクト]]</f>
        <v>Effect/Arcana/</v>
      </c>
      <c r="G42">
        <f>InputData[[#This Row],[効果音]]</f>
        <v>0</v>
      </c>
      <c r="H42" t="str">
        <f>InputData[[#This Row],[説明]]</f>
        <v>#</v>
      </c>
      <c r="I42" s="1" t="str">
        <f>"Arcana"&amp;TEXT(A42, "00")&amp;VLOOKUP(ArcanaData[[#This Row],[名前]],選択用フィールド!$D$2:$E$23,2,FALSE)&amp;ArcanaMaster[[#This Row],[位置]]</f>
        <v>Arcana20JudgementFront</v>
      </c>
    </row>
    <row r="43" spans="1:9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 t="str">
        <f>選択用フィールド!$G$2&amp;"/"&amp;InputData[[#This Row],[エフェクト]]</f>
        <v>Effect/Arcana/miniBullet</v>
      </c>
      <c r="G43">
        <f>InputData[[#This Row],[効果音]]</f>
        <v>0</v>
      </c>
      <c r="H43" t="str">
        <f>InputData[[#This Row],[説明]]</f>
        <v>銃弾の雨が降ってくるカード</v>
      </c>
      <c r="I43" s="1" t="str">
        <f>"Arcana"&amp;TEXT(A43, "00")&amp;VLOOKUP(ArcanaData[[#This Row],[名前]],選択用フィールド!$D$2:$E$23,2,FALSE)&amp;ArcanaMaster[[#This Row],[位置]]</f>
        <v>Arcana20JudgementBack</v>
      </c>
    </row>
    <row r="44" spans="1:9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 t="str">
        <f>選択用フィールド!$G$2&amp;"/"&amp;InputData[[#This Row],[エフェクト]]</f>
        <v>Effect/Arcana/</v>
      </c>
      <c r="G44">
        <f>InputData[[#This Row],[効果音]]</f>
        <v>0</v>
      </c>
      <c r="H44" t="str">
        <f>InputData[[#This Row],[説明]]</f>
        <v>二段ジャンプができるカード</v>
      </c>
      <c r="I44" s="1" t="str">
        <f>"Arcana"&amp;TEXT(A44, "00")&amp;VLOOKUP(ArcanaData[[#This Row],[名前]],選択用フィールド!$D$2:$E$23,2,FALSE)&amp;ArcanaMaster[[#This Row],[位置]]</f>
        <v>Arcana21WorldFront</v>
      </c>
    </row>
    <row r="45" spans="1:9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 t="str">
        <f>選択用フィールド!$G$2&amp;"/"&amp;InputData[[#This Row],[エフェクト]]</f>
        <v>Effect/Arcana/</v>
      </c>
      <c r="G45">
        <f>InputData[[#This Row],[効果音]]</f>
        <v>0</v>
      </c>
      <c r="H45" t="str">
        <f>InputData[[#This Row],[説明]]</f>
        <v>次元移動ができるカード</v>
      </c>
      <c r="I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O2" sqref="O2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</row>
    <row r="8" spans="1:10" x14ac:dyDescent="0.45">
      <c r="D8" t="s">
        <v>42</v>
      </c>
      <c r="E8" t="s">
        <v>65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G45"/>
  <sheetViews>
    <sheetView tabSelected="1" topLeftCell="A31" workbookViewId="0">
      <selection activeCell="D44" sqref="D44"/>
    </sheetView>
  </sheetViews>
  <sheetFormatPr defaultRowHeight="18" x14ac:dyDescent="0.45"/>
  <cols>
    <col min="1" max="1" width="12.3984375" bestFit="1" customWidth="1"/>
    <col min="3" max="3" width="18.296875" bestFit="1" customWidth="1"/>
    <col min="4" max="4" width="13.19921875" customWidth="1"/>
    <col min="5" max="5" width="19.19921875" customWidth="1"/>
    <col min="6" max="6" width="26.09765625" customWidth="1"/>
    <col min="7" max="7" width="75.8984375" customWidth="1"/>
  </cols>
  <sheetData>
    <row r="1" spans="1:7" x14ac:dyDescent="0.45">
      <c r="A1" t="s">
        <v>2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3</v>
      </c>
    </row>
    <row r="2" spans="1:7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G2" t="s">
        <v>113</v>
      </c>
    </row>
    <row r="3" spans="1:7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G3" t="s">
        <v>98</v>
      </c>
    </row>
    <row r="4" spans="1:7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G4" t="s">
        <v>99</v>
      </c>
    </row>
    <row r="5" spans="1:7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 t="s">
        <v>96</v>
      </c>
      <c r="G5" t="s">
        <v>100</v>
      </c>
    </row>
    <row r="6" spans="1:7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G6" t="s">
        <v>101</v>
      </c>
    </row>
    <row r="7" spans="1:7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G7" t="s">
        <v>102</v>
      </c>
    </row>
    <row r="8" spans="1:7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G8" t="s">
        <v>103</v>
      </c>
    </row>
    <row r="9" spans="1:7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 t="s">
        <v>136</v>
      </c>
      <c r="G9" t="s">
        <v>104</v>
      </c>
    </row>
    <row r="10" spans="1:7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G10" t="s">
        <v>105</v>
      </c>
    </row>
    <row r="11" spans="1:7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G11" t="s">
        <v>106</v>
      </c>
    </row>
    <row r="12" spans="1:7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G12" t="s">
        <v>107</v>
      </c>
    </row>
    <row r="13" spans="1:7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G13" t="s">
        <v>108</v>
      </c>
    </row>
    <row r="14" spans="1:7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G14" t="s">
        <v>109</v>
      </c>
    </row>
    <row r="15" spans="1:7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G15" t="s">
        <v>110</v>
      </c>
    </row>
    <row r="16" spans="1:7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G16" t="s">
        <v>135</v>
      </c>
    </row>
    <row r="17" spans="1:7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G17" t="s">
        <v>111</v>
      </c>
    </row>
    <row r="18" spans="1:7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G18" t="s">
        <v>112</v>
      </c>
    </row>
    <row r="19" spans="1:7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G19" t="s">
        <v>114</v>
      </c>
    </row>
    <row r="20" spans="1:7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G20" t="s">
        <v>115</v>
      </c>
    </row>
    <row r="21" spans="1:7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 t="s">
        <v>137</v>
      </c>
      <c r="G21" t="s">
        <v>116</v>
      </c>
    </row>
    <row r="22" spans="1:7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G22" t="s">
        <v>117</v>
      </c>
    </row>
    <row r="23" spans="1:7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G23" t="s">
        <v>118</v>
      </c>
    </row>
    <row r="24" spans="1:7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G24" t="s">
        <v>140</v>
      </c>
    </row>
    <row r="25" spans="1:7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G25" t="s">
        <v>119</v>
      </c>
    </row>
    <row r="26" spans="1:7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G26" t="s">
        <v>120</v>
      </c>
    </row>
    <row r="27" spans="1:7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G27" t="s">
        <v>121</v>
      </c>
    </row>
    <row r="28" spans="1:7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G28" t="s">
        <v>35</v>
      </c>
    </row>
    <row r="29" spans="1:7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G29" t="s">
        <v>122</v>
      </c>
    </row>
    <row r="30" spans="1:7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G30" t="s">
        <v>123</v>
      </c>
    </row>
    <row r="31" spans="1:7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G31" t="s">
        <v>124</v>
      </c>
    </row>
    <row r="32" spans="1:7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G32" t="s">
        <v>35</v>
      </c>
    </row>
    <row r="33" spans="1:7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G33" t="s">
        <v>125</v>
      </c>
    </row>
    <row r="34" spans="1:7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 t="s">
        <v>138</v>
      </c>
      <c r="G34" t="s">
        <v>126</v>
      </c>
    </row>
    <row r="35" spans="1:7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G35" t="s">
        <v>127</v>
      </c>
    </row>
    <row r="36" spans="1:7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G36" t="s">
        <v>128</v>
      </c>
    </row>
    <row r="37" spans="1:7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G37" t="s">
        <v>129</v>
      </c>
    </row>
    <row r="38" spans="1:7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G38" t="s">
        <v>35</v>
      </c>
    </row>
    <row r="39" spans="1:7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-1</v>
      </c>
      <c r="G39" t="s">
        <v>35</v>
      </c>
    </row>
    <row r="40" spans="1:7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G40" t="s">
        <v>130</v>
      </c>
    </row>
    <row r="41" spans="1:7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G41" t="s">
        <v>131</v>
      </c>
    </row>
    <row r="42" spans="1:7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34</v>
      </c>
      <c r="D42">
        <v>-1</v>
      </c>
      <c r="G42" t="s">
        <v>35</v>
      </c>
    </row>
    <row r="43" spans="1:7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 t="s">
        <v>139</v>
      </c>
      <c r="G43" t="s">
        <v>132</v>
      </c>
    </row>
    <row r="44" spans="1:7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G44" t="s">
        <v>133</v>
      </c>
    </row>
    <row r="45" spans="1:7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G45" t="s">
        <v>134</v>
      </c>
    </row>
  </sheetData>
  <phoneticPr fontId="1"/>
  <dataValidations count="2">
    <dataValidation type="decimal" allowBlank="1" showInputMessage="1" showErrorMessage="1" sqref="D2:D45" xr:uid="{3D03E15D-E7ED-4977-BF66-D8407C5381AF}">
      <formula1>-1</formula1>
      <formula2>300</formula2>
    </dataValidation>
    <dataValidation type="textLength" allowBlank="1" showInputMessage="1" showErrorMessage="1" sqref="G2:G45" xr:uid="{EE204BD4-67A7-473F-935A-110779F70780}">
      <formula1>0</formula1>
      <formula2>100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2026-07-17T01:20:28Z</dcterms:modified>
</cp:coreProperties>
</file>