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A4DE0F8B-4C90-4557-970E-B2865BBE5ACB}" xr6:coauthVersionLast="36" xr6:coauthVersionMax="47" xr10:uidLastSave="{00000000-0000-0000-0000-000000000000}"/>
  <bookViews>
    <workbookView xWindow="0" yWindow="0" windowWidth="23040" windowHeight="8124" activeTab="1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K12" i="2" s="1"/>
  <c r="D13" i="1"/>
  <c r="K13" i="2" s="1"/>
  <c r="D14" i="1"/>
  <c r="D15" i="1"/>
  <c r="D16" i="1"/>
  <c r="K16" i="2" s="1"/>
  <c r="D17" i="1"/>
  <c r="K17" i="2" s="1"/>
  <c r="D18" i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D27" i="1"/>
  <c r="D28" i="1"/>
  <c r="D29" i="1"/>
  <c r="D30" i="1"/>
  <c r="D31" i="1"/>
  <c r="D32" i="1"/>
  <c r="D33" i="1"/>
  <c r="K33" i="2" s="1"/>
  <c r="D34" i="1"/>
  <c r="D35" i="1"/>
  <c r="D36" i="1"/>
  <c r="D37" i="1"/>
  <c r="K37" i="2" s="1"/>
  <c r="D38" i="1"/>
  <c r="D39" i="1"/>
  <c r="D40" i="1"/>
  <c r="K40" i="2" s="1"/>
  <c r="D41" i="1"/>
  <c r="D42" i="1"/>
  <c r="D43" i="1"/>
  <c r="D44" i="1"/>
  <c r="K44" i="2" s="1"/>
  <c r="D45" i="1"/>
  <c r="K45" i="2" s="1"/>
  <c r="J2" i="2"/>
  <c r="K2" i="2"/>
  <c r="K10" i="2"/>
  <c r="K11" i="2"/>
  <c r="K15" i="2"/>
  <c r="K23" i="2"/>
  <c r="K27" i="2"/>
  <c r="K5" i="2"/>
  <c r="K6" i="2"/>
  <c r="K7" i="2"/>
  <c r="K9" i="2"/>
  <c r="K18" i="2"/>
  <c r="K29" i="2"/>
  <c r="K30" i="2"/>
  <c r="K31" i="2"/>
  <c r="K41" i="2"/>
  <c r="K42" i="2"/>
  <c r="K43" i="2"/>
  <c r="K3" i="2"/>
  <c r="K4" i="2"/>
  <c r="K8" i="2"/>
  <c r="K14" i="2"/>
  <c r="K26" i="2"/>
  <c r="K28" i="2"/>
  <c r="K32" i="2"/>
  <c r="K34" i="2"/>
  <c r="K35" i="2"/>
  <c r="K36" i="2"/>
  <c r="K38" i="2"/>
  <c r="K39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<sst xmlns="http://schemas.openxmlformats.org/spreadsheetml/2006/main" count="271" uniqueCount="151">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</sst>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abSelected="1" topLeftCell="D13" workbookViewId="0">
      <selection activeCell="I37" sqref="I37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0.19921875" bestFit="1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  <c r="K1" t="s">
        <v>149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>
        <f>InputData[[#This Row],[効果音]]</f>
        <v>0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  <c r="K2" s="1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>
        <f>InputData[[#This Row],[効果音]]</f>
        <v>0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  <c r="K3" s="1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>
        <f>InputData[[#This Row],[効果音]]</f>
        <v>0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  <c r="K4" s="1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>
        <f>InputData[[#This Row],[効果音]]</f>
        <v>0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  <c r="K5" s="1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>
        <f>InputData[[#This Row],[効果音]]</f>
        <v>0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  <c r="K6" s="1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>
        <f>InputData[[#This Row],[効果音]]</f>
        <v>0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  <c r="K7" s="1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>
        <f>InputData[[#This Row],[効果音]]</f>
        <v>0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  <c r="K8" s="1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>
        <f>InputData[[#This Row],[効果音]]</f>
        <v>0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  <c r="K9" s="1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>
        <f>InputData[[#This Row],[効果音]]</f>
        <v>0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  <c r="K10" s="1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>
        <f>InputData[[#This Row],[効果音]]</f>
        <v>0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  <c r="K11" s="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>
        <f>InputData[[#This Row],[効果音]]</f>
        <v>0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  <c r="K12" s="1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>
        <f>InputData[[#This Row],[効果音]]</f>
        <v>0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  <c r="K13" s="1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>
        <f>InputData[[#This Row],[効果音]]</f>
        <v>0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  <c r="K14" s="1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>
        <f>InputData[[#This Row],[効果音]]</f>
        <v>0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  <c r="K15" s="1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>
        <f>InputData[[#This Row],[効果音]]</f>
        <v>0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  <c r="K16" s="1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>
        <f>InputData[[#This Row],[効果音]]</f>
        <v>0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  <c r="K17" s="1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>
        <f>InputData[[#This Row],[効果音]]</f>
        <v>0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  <c r="K18" s="1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>
        <f>InputData[[#This Row],[効果音]]</f>
        <v>0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  <c r="K19" s="1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>
        <f>InputData[[#This Row],[効果音]]</f>
        <v>0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  <c r="K20" s="1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>
        <f>InputData[[#This Row],[効果音]]</f>
        <v>0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  <c r="K21" s="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>
        <f>InputData[[#This Row],[効果音]]</f>
        <v>0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  <c r="K22" s="1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>
        <f>InputData[[#This Row],[効果音]]</f>
        <v>0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  <c r="K23" s="1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>
        <f>InputData[[#This Row],[効果音]]</f>
        <v>0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  <c r="K24" s="1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>
        <f>InputData[[#This Row],[効果音]]</f>
        <v>0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  <c r="K25" s="1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>
        <f>InputData[[#This Row],[効果音]]</f>
        <v>0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  <c r="K26" s="1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>
        <f>InputData[[#This Row],[効果音]]</f>
        <v>0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  <c r="K27" s="1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>
        <f>InputData[[#This Row],[効果音]]</f>
        <v>0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  <c r="K28" s="1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>
        <f>InputData[[#This Row],[効果音]]</f>
        <v>0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  <c r="K29" s="1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>
        <f>InputData[[#This Row],[効果音]]</f>
        <v>0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  <c r="K30" s="1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>
        <f>InputData[[#This Row],[効果音]]</f>
        <v>0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  <c r="K31" s="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>
        <f>InputData[[#This Row],[効果音]]</f>
        <v>0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  <c r="K32" s="1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>
        <f>InputData[[#This Row],[効果音]]</f>
        <v>0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  <c r="K33" s="1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>
        <f>InputData[[#This Row],[効果音]]</f>
        <v>0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  <c r="K34" s="1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>
        <f>InputData[[#This Row],[効果音]]</f>
        <v>0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  <c r="K35" s="1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>
        <f>InputData[[#This Row],[効果音]]</f>
        <v>0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  <c r="K36" s="1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>
        <f>InputData[[#This Row],[効果音]]</f>
        <v>0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  <c r="K37" s="1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>
        <f>InputData[[#This Row],[効果数値]]</f>
        <v>-1</v>
      </c>
      <c r="G38" t="str">
        <f>選択用フィールド!$G$2&amp;"/"&amp;InputData[[#This Row],[エフェクト]]</f>
        <v>Effect/Arcana/</v>
      </c>
      <c r="H38">
        <f>InputData[[#This Row],[効果音]]</f>
        <v>0</v>
      </c>
      <c r="I38" t="str">
        <f>InputData[[#This Row],[説明]]</f>
        <v>#</v>
      </c>
      <c r="J38" s="1" t="str">
        <f>"Arcana"&amp;TEXT(A38, "00")&amp;VLOOKUP(ArcanaData[[#This Row],[名前]],選択用フィールド!$D$2:$E$23,2,FALSE)&amp;ArcanaMaster[[#This Row],[位置]]</f>
        <v>Arcana18MoonFront</v>
      </c>
      <c r="K38" s="1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>
        <f>InputData[[#This Row],[効果音]]</f>
        <v>0</v>
      </c>
      <c r="I39" t="str">
        <f>InputData[[#This Row],[説明]]</f>
        <v>分身が出てくるカード</v>
      </c>
      <c r="J39" s="1" t="str">
        <f>"Arcana"&amp;TEXT(A39, "00")&amp;VLOOKUP(ArcanaData[[#This Row],[名前]],選択用フィールド!$D$2:$E$23,2,FALSE)&amp;ArcanaMaster[[#This Row],[位置]]</f>
        <v>Arcana18MoonBack</v>
      </c>
      <c r="K39" s="1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>
        <f>InputData[[#This Row],[効果音]]</f>
        <v>0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  <c r="K40" s="1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>
        <f>InputData[[#This Row],[効果音]]</f>
        <v>0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  <c r="K41" s="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>
        <f>InputData[[#This Row],[効果音]]</f>
        <v>0</v>
      </c>
      <c r="I42" t="str">
        <f>InputData[[#This Row],[説明]]</f>
        <v>当たると現在HPの30％のHPを減らす弾を打つ</v>
      </c>
      <c r="J42" s="1" t="str">
        <f>"Arcana"&amp;TEXT(A42, "00")&amp;VLOOKUP(ArcanaData[[#This Row],[名前]],選択用フィールド!$D$2:$E$23,2,FALSE)&amp;ArcanaMaster[[#This Row],[位置]]</f>
        <v>Arcana20JudgementFront</v>
      </c>
      <c r="K42" s="1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>
        <f>InputData[[#This Row],[効果音]]</f>
        <v>0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  <c r="K43" s="1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>
        <f>InputData[[#This Row],[効果音]]</f>
        <v>0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  <c r="K44" s="1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>
        <f>InputData[[#This Row],[効果音]]</f>
        <v>0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  <c r="K45" s="1" t="str">
        <f>選択用フィールド!$G$8&amp;"/"&amp;ArcanaMaster[[#This Row],[画像]]</f>
        <v>Sprites/Arcana/21World</v>
      </c>
    </row>
  </sheetData>
  <sheetProtection algorithmName="SHA-512" hashValue="JsrtSVZYWtqsM+vamaxfnwW6KDjeS8ergY52B5KFDixxAV12yOMwOn788B5MD0Sk+4SDCfMYuevizTiAWnTLKw==" saltValue="oS2zEMxPdy3ezhGbJolCfw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B15" sqref="B15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  <c r="G7" t="s">
        <v>148</v>
      </c>
    </row>
    <row r="8" spans="1:10" x14ac:dyDescent="0.45">
      <c r="D8" t="s">
        <v>42</v>
      </c>
      <c r="E8" t="s">
        <v>65</v>
      </c>
      <c r="G8" t="s">
        <v>150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sheetProtection algorithmName="SHA-512" hashValue="ryhF4kBA1BKUHN6LbZlBRteHtUgn49kD1H5CK0aTR961ZyZ07Rj4y9OBolArIZYra1E+Cy2bdg1LYF+iYoq1yg==" saltValue="PerIWNDmBJOSMcG9n1sgIg==" spinCount="100000" sheet="1" objects="1" scenarios="1"/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workbookViewId="0">
      <selection activeCell="E26" sqref="E26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E38">
        <v>-1</v>
      </c>
      <c r="H38" t="s">
        <v>35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2026-07-31T02:23:08Z</dcterms:modified>
</cp:coreProperties>
</file>