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_Project\Excel\"/>
    </mc:Choice>
  </mc:AlternateContent>
  <xr:revisionPtr revIDLastSave="0" documentId="13_ncr:1_{1DCC42EA-75FF-4811-A77E-3623070475C6}" xr6:coauthVersionLast="36" xr6:coauthVersionMax="36" xr10:uidLastSave="{00000000-0000-0000-0000-000000000000}"/>
  <bookViews>
    <workbookView xWindow="0" yWindow="0" windowWidth="23040" windowHeight="8124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O2" i="9"/>
  <c r="O3" i="9"/>
  <c r="O4" i="9"/>
  <c r="O5" i="9"/>
  <c r="O6" i="9"/>
  <c r="O7" i="9"/>
  <c r="O8" i="9"/>
  <c r="M2" i="9"/>
  <c r="M3" i="9"/>
  <c r="M4" i="9"/>
  <c r="M5" i="9"/>
  <c r="M6" i="9"/>
  <c r="M7" i="9"/>
  <c r="M8" i="9"/>
  <c r="J2" i="9"/>
  <c r="J3" i="9"/>
  <c r="J4" i="9"/>
  <c r="J5" i="9"/>
  <c r="J6" i="9"/>
  <c r="J7" i="9"/>
  <c r="J8" i="9"/>
  <c r="D2" i="9"/>
  <c r="D3" i="9"/>
  <c r="D4" i="9"/>
  <c r="D5" i="9"/>
  <c r="D6" i="9"/>
  <c r="D7" i="9"/>
  <c r="D8" i="9"/>
  <c r="C2" i="9"/>
  <c r="C3" i="9"/>
  <c r="C4" i="9"/>
  <c r="C5" i="9"/>
  <c r="C6" i="9"/>
  <c r="C7" i="9"/>
  <c r="C8" i="9"/>
  <c r="A8" i="1"/>
  <c r="A7" i="1"/>
  <c r="A6" i="1"/>
  <c r="A5" i="1"/>
  <c r="A2" i="1" l="1"/>
  <c r="A4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<sst xmlns="http://schemas.openxmlformats.org/spreadsheetml/2006/main" count="159" uniqueCount="104">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</sst>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11</xdr:row>
          <xdr:rowOff>7620</xdr:rowOff>
        </xdr:from>
        <xdr:to>
          <xdr:col>19</xdr:col>
          <xdr:colOff>7620</xdr:colOff>
          <xdr:row>13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1EFDB5B0-B017-499E-B7CD-B0E9E7E20467}" name="OutputTable" displayName="OutputTable" ref="A1:S8" totalsRowShown="0">
  <autoFilter ref="A1:S8" xr:uid="{D7BF237B-BD76-4DB5-AE12-7B2CCA4F6C64}"/>
  <tableColumns count="19">
    <tableColumn id="1" xr3:uid="{AB8C2EDF-FCEE-4218-AEAB-A803724BD38E}" name="No"/>
    <tableColumn id="2" xr3:uid="{9630EEFB-672E-4376-98C6-FF5E4C248F58}" name="名前"/>
    <tableColumn id="3" xr3:uid="{E4197C5C-EB02-4D5B-8C74-49BEFF489C03}" name="ターゲット方法">
      <calculatedColumnFormula>VLOOKUP('InputFile(Skill)'!C2, 検索用シート!$A$2:$B$6, 2, FALSE)</calculatedColumnFormula>
    </tableColumn>
    <tableColumn id="4" xr3:uid="{83656CFB-EFC0-4CE7-922D-FAAD0ECBE748}" name="攻撃方法">
      <calculatedColumnFormula>VLOOKUP('InputFile(Skill)'!D2, 検索用シート!$D$2:$E$5, 2, FALSE)</calculatedColumnFormula>
    </tableColumn>
    <tableColumn id="5" xr3:uid="{9C8E6F19-D024-442C-831E-F444D5825C97}" name="値"/>
    <tableColumn id="6" xr3:uid="{5DFCDC29-7783-46CE-8FD5-97BCD87AEB99}" name="クールタイム"/>
    <tableColumn id="7" xr3:uid="{B20C9DF2-D0D2-4790-A323-38AC4F47C320}" name="持続時間"/>
    <tableColumn id="8" xr3:uid="{77AC81EC-3E7E-4B40-8D00-F83D99BC115A}" name="予備動作時間"/>
    <tableColumn id="9" xr3:uid="{D1B795B6-4CB1-4BD6-AE32-A8171407E9F4}" name="移動速度"/>
    <tableColumn id="10" xr3:uid="{D3CBC1B4-BD43-4A5E-9FBF-31D87AC04CEB}" name="貫通">
      <calculatedColumnFormula>VLOOKUP('InputFile(Skill)'!J2, 検索用シート!$G$2:$H$3, 2, FALSE)</calculatedColumnFormula>
    </tableColumn>
    <tableColumn id="11" xr3:uid="{B73DE384-DD22-482A-AACA-375DC45C7288}" name="反射回数"/>
    <tableColumn id="12" xr3:uid="{A2B96B81-4004-4494-B144-83289753B231}" name="画像パス"/>
    <tableColumn id="13" xr3:uid="{D0222EC8-0AF7-47B2-A2A2-42F14B10F884}" name="スキルオブジェクト">
      <calculatedColumnFormula>検索用シート!$J$2 &amp; 'InputFile(Skill)'!M2</calculatedColumnFormula>
    </tableColumn>
    <tableColumn id="14" xr3:uid="{E8F96A04-07FA-436C-8DDB-00FA7A586020}" name="効果音"/>
    <tableColumn id="15" xr3:uid="{70DB9FC4-F8AA-44A9-BD67-AB51771F78FF}" name="付与するエフェクト">
      <calculatedColumnFormula>IF('InputFile(Skill)'!O2="", "", IFERROR(VLOOKUP('InputFile(Skill)'!O2, 検索用シート!$L$2:$M$14, 2, FALSE), ""))</calculatedColumnFormula>
    </tableColumn>
    <tableColumn id="16" xr3:uid="{2D11C56A-D114-4BC6-A218-2399F746A37A}" name="バフか">
      <calculatedColumnFormula>IF('InputFile(Skill)'!P2="", "", IFERROR(VLOOKUP('InputFile(Skill)'!P2, 検索用シート!$G$6:$H$7, 2, FALSE), ""))</calculatedColumnFormula>
    </tableColumn>
    <tableColumn id="17" xr3:uid="{F61EB992-7CD1-4DB1-8B71-40E31BD22B11}" name="エフェクト持続時間"/>
    <tableColumn id="18" xr3:uid="{6A121996-9EF6-4A6A-BE80-56131B54C115}" name="エフェクト数値"/>
    <tableColumn id="19" xr3:uid="{83AC87DA-4507-40FE-98A3-FD0204C533B5}" name="説明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S8" totalsRowShown="0">
  <autoFilter ref="A1:S8" xr:uid="{1F6AF440-C034-4897-9253-FD1BE22FEFC7}"/>
  <tableColumns count="19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S8"/>
  <sheetViews>
    <sheetView tabSelected="1" workbookViewId="0">
      <selection activeCell="L18" sqref="L18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18.69921875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</cols>
  <sheetData>
    <row r="1" spans="1:19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</row>
    <row r="2" spans="1:19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  <c r="M2" t="str">
        <f>検索用シート!$J$2 &amp; 'InputFile(Skill)'!M2</f>
        <v>Effect/Skill/NormalArrow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</row>
    <row r="3" spans="1:19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M3" t="str">
        <f>検索用シート!$J$2 &amp; 'InputFile(Skill)'!M3</f>
        <v>Effect/Skill/SrowArrow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</row>
    <row r="4" spans="1:19" x14ac:dyDescent="0.45">
      <c r="A4">
        <v>3</v>
      </c>
      <c r="B4" t="s">
        <v>54</v>
      </c>
      <c r="C4" t="str">
        <f>VLOOKUP('InputFile(Skill)'!C4, 検索用シート!$A$2:$B$6, 2, FALSE)</f>
        <v>LookOn</v>
      </c>
      <c r="D4" t="str">
        <f>VLOOKUP('InputFile(Skill)'!D4, 検索用シート!$D$2:$E$5, 2, FALSE)</f>
        <v>Attack</v>
      </c>
      <c r="E4">
        <v>0</v>
      </c>
      <c r="F4">
        <v>3</v>
      </c>
      <c r="G4">
        <v>0</v>
      </c>
      <c r="H4">
        <v>0.3</v>
      </c>
      <c r="I4">
        <v>0</v>
      </c>
      <c r="J4">
        <f>VLOOKUP('InputFile(Skill)'!J4, 検索用シート!$G$2:$H$3, 2, FALSE)</f>
        <v>-1</v>
      </c>
      <c r="K4">
        <v>0</v>
      </c>
      <c r="M4" t="str">
        <f>検索用シート!$J$2 &amp; 'InputFile(Skill)'!M4</f>
        <v>Effect/Skill/RandomDmgCard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56</v>
      </c>
    </row>
    <row r="5" spans="1:19" x14ac:dyDescent="0.45">
      <c r="A5">
        <v>4</v>
      </c>
      <c r="B5" t="s">
        <v>90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3</v>
      </c>
      <c r="F5">
        <v>10</v>
      </c>
      <c r="G5">
        <v>0</v>
      </c>
      <c r="H5">
        <v>0.5</v>
      </c>
      <c r="I5">
        <v>0</v>
      </c>
      <c r="J5">
        <f>VLOOKUP('InputFile(Skill)'!J5, 検索用シート!$G$2:$H$3, 2, FALSE)</f>
        <v>-1</v>
      </c>
      <c r="K5">
        <v>0</v>
      </c>
      <c r="M5" t="str">
        <f>検索用シート!$J$2 &amp; 'InputFile(Skill)'!M5</f>
        <v>Effect/Skill/Ice</v>
      </c>
      <c r="O5" t="str">
        <f>IF('InputFile(Skill)'!O5="", "", IFERROR(VLOOKUP('InputFile(Skill)'!O5, 検索用シート!$L$2:$M$14, 2, FALSE), ""))</f>
        <v>Stun</v>
      </c>
      <c r="P5">
        <f>IF('InputFile(Skill)'!P5="", "", IFERROR(VLOOKUP('InputFile(Skill)'!P5, 検索用シート!$G$6:$H$7, 2, FALSE), ""))</f>
        <v>-1</v>
      </c>
      <c r="Q5">
        <v>3</v>
      </c>
      <c r="R5">
        <v>0</v>
      </c>
      <c r="S5" t="s">
        <v>93</v>
      </c>
    </row>
    <row r="6" spans="1:19" x14ac:dyDescent="0.45">
      <c r="A6">
        <v>5</v>
      </c>
      <c r="B6" t="s">
        <v>94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5</v>
      </c>
      <c r="F6">
        <v>10</v>
      </c>
      <c r="G6">
        <v>0</v>
      </c>
      <c r="H6">
        <v>0.8</v>
      </c>
      <c r="I6">
        <v>0</v>
      </c>
      <c r="J6">
        <f>VLOOKUP('InputFile(Skill)'!J6, 検索用シート!$G$2:$H$3, 2, FALSE)</f>
        <v>-1</v>
      </c>
      <c r="K6">
        <v>0</v>
      </c>
      <c r="M6" t="str">
        <f>検索用シート!$J$2 &amp; 'InputFile(Skill)'!M6</f>
        <v>Effect/Skill/DarkBall</v>
      </c>
      <c r="O6" t="str">
        <f>IF('InputFile(Skill)'!O6="", "", IFERROR(VLOOKUP('InputFile(Skill)'!O6, 検索用シート!$L$2:$M$14, 2, FALSE), ""))</f>
        <v>DEF</v>
      </c>
      <c r="P6">
        <f>IF('InputFile(Skill)'!P6="", "", IFERROR(VLOOKUP('InputFile(Skill)'!P6, 検索用シート!$G$6:$H$7, 2, FALSE), ""))</f>
        <v>-1</v>
      </c>
      <c r="Q6">
        <v>10</v>
      </c>
      <c r="R6">
        <v>0.1</v>
      </c>
      <c r="S6" t="s">
        <v>96</v>
      </c>
    </row>
    <row r="7" spans="1:19" x14ac:dyDescent="0.45">
      <c r="A7">
        <v>6</v>
      </c>
      <c r="B7" t="s">
        <v>97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0</v>
      </c>
      <c r="F7">
        <v>30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M7" t="str">
        <f>検索用シート!$J$2 &amp; 'InputFile(Skill)'!M7</f>
        <v>Effect/Skill/Poison</v>
      </c>
      <c r="O7" t="str">
        <f>IF('InputFile(Skill)'!O7="", "", IFERROR(VLOOKUP('InputFile(Skill)'!O7, 検索用シート!$L$2:$M$14, 2, FALSE), ""))</f>
        <v>Poison</v>
      </c>
      <c r="P7">
        <f>IF('InputFile(Skill)'!P7="", "", IFERROR(VLOOKUP('InputFile(Skill)'!P7, 検索用シート!$G$6:$H$7, 2, FALSE), ""))</f>
        <v>-1</v>
      </c>
      <c r="Q7">
        <v>10</v>
      </c>
      <c r="R7">
        <v>2</v>
      </c>
      <c r="S7" t="s">
        <v>99</v>
      </c>
    </row>
    <row r="8" spans="1:19" x14ac:dyDescent="0.45">
      <c r="A8">
        <v>7</v>
      </c>
      <c r="B8" t="s">
        <v>100</v>
      </c>
      <c r="C8" t="str">
        <f>VLOOKUP('InputFile(Skill)'!C8, 検索用シート!$A$2:$B$6, 2, FALSE)</f>
        <v>None</v>
      </c>
      <c r="D8" t="str">
        <f>VLOOKUP('InputFile(Skill)'!D8, 検索用シート!$D$2:$E$5, 2, FALSE)</f>
        <v>Effection</v>
      </c>
      <c r="E8">
        <v>0</v>
      </c>
      <c r="F8">
        <v>25</v>
      </c>
      <c r="G8">
        <v>0</v>
      </c>
      <c r="H8">
        <v>0</v>
      </c>
      <c r="I8">
        <v>0</v>
      </c>
      <c r="J8">
        <f>VLOOKUP('InputFile(Skill)'!J8, 検索用シート!$G$2:$H$3, 2, FALSE)</f>
        <v>-1</v>
      </c>
      <c r="K8">
        <v>0</v>
      </c>
      <c r="M8" t="str">
        <f>検索用シート!$J$2 &amp; 'InputFile(Skill)'!M8</f>
        <v>Effect/Skill/AtkBuff</v>
      </c>
      <c r="O8" t="str">
        <f>IF('InputFile(Skill)'!O8="", "", IFERROR(VLOOKUP('InputFile(Skill)'!O8, 検索用シート!$L$2:$M$14, 2, FALSE), ""))</f>
        <v>ATK</v>
      </c>
      <c r="P8">
        <f>IF('InputFile(Skill)'!P8="", "", IFERROR(VLOOKUP('InputFile(Skill)'!P8, 検索用シート!$G$6:$H$7, 2, FALSE), ""))</f>
        <v>1</v>
      </c>
      <c r="Q8">
        <v>10</v>
      </c>
      <c r="R8">
        <v>1.2</v>
      </c>
      <c r="S8" t="s">
        <v>103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13"/>
  <sheetViews>
    <sheetView workbookViewId="0">
      <selection activeCell="E4" sqref="E4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L9" t="s">
        <v>64</v>
      </c>
      <c r="M9" t="s">
        <v>85</v>
      </c>
    </row>
    <row r="10" spans="1:13" x14ac:dyDescent="0.45">
      <c r="L10" t="s">
        <v>65</v>
      </c>
      <c r="M10" t="s">
        <v>86</v>
      </c>
    </row>
    <row r="11" spans="1:13" x14ac:dyDescent="0.45">
      <c r="L11" t="s">
        <v>66</v>
      </c>
      <c r="M11" t="s">
        <v>87</v>
      </c>
    </row>
    <row r="12" spans="1:13" x14ac:dyDescent="0.45">
      <c r="L12" t="s">
        <v>67</v>
      </c>
      <c r="M12" t="s">
        <v>88</v>
      </c>
    </row>
    <row r="13" spans="1:13" x14ac:dyDescent="0.45">
      <c r="L13" t="s">
        <v>68</v>
      </c>
      <c r="M13" t="s">
        <v>89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S8"/>
  <sheetViews>
    <sheetView workbookViewId="0">
      <selection activeCell="S8" sqref="S8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0.59765625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2.29687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</row>
    <row r="2" spans="1:19" x14ac:dyDescent="0.45">
      <c r="A2">
        <f t="shared" ref="A2:A8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10</v>
      </c>
      <c r="J2" t="s">
        <v>31</v>
      </c>
      <c r="K2">
        <v>0</v>
      </c>
      <c r="M2" t="s">
        <v>53</v>
      </c>
      <c r="S2" t="s">
        <v>42</v>
      </c>
    </row>
    <row r="3" spans="1:19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M3" t="s">
        <v>51</v>
      </c>
      <c r="O3" t="s">
        <v>78</v>
      </c>
      <c r="P3" t="s">
        <v>73</v>
      </c>
      <c r="Q3">
        <v>5</v>
      </c>
      <c r="R3">
        <v>0.2</v>
      </c>
      <c r="S3" t="s">
        <v>52</v>
      </c>
    </row>
    <row r="4" spans="1:19" x14ac:dyDescent="0.45">
      <c r="A4">
        <f t="shared" si="0"/>
        <v>3</v>
      </c>
      <c r="B4" t="s">
        <v>54</v>
      </c>
      <c r="C4" t="s">
        <v>12</v>
      </c>
      <c r="D4" t="s">
        <v>21</v>
      </c>
      <c r="E4">
        <v>0</v>
      </c>
      <c r="F4">
        <v>3</v>
      </c>
      <c r="G4">
        <v>0</v>
      </c>
      <c r="H4">
        <v>0.3</v>
      </c>
      <c r="I4">
        <v>0</v>
      </c>
      <c r="J4" t="s">
        <v>50</v>
      </c>
      <c r="K4">
        <v>0</v>
      </c>
      <c r="M4" t="s">
        <v>55</v>
      </c>
      <c r="S4" t="s">
        <v>56</v>
      </c>
    </row>
    <row r="5" spans="1:19" x14ac:dyDescent="0.45">
      <c r="A5">
        <f t="shared" si="0"/>
        <v>4</v>
      </c>
      <c r="B5" t="s">
        <v>90</v>
      </c>
      <c r="C5" t="s">
        <v>12</v>
      </c>
      <c r="D5" t="s">
        <v>21</v>
      </c>
      <c r="E5">
        <v>3</v>
      </c>
      <c r="F5">
        <v>10</v>
      </c>
      <c r="G5">
        <v>0</v>
      </c>
      <c r="H5">
        <v>0.5</v>
      </c>
      <c r="I5">
        <v>0</v>
      </c>
      <c r="J5" t="s">
        <v>50</v>
      </c>
      <c r="K5">
        <v>0</v>
      </c>
      <c r="M5" t="s">
        <v>91</v>
      </c>
      <c r="O5" t="s">
        <v>92</v>
      </c>
      <c r="P5" t="s">
        <v>73</v>
      </c>
      <c r="Q5">
        <v>3</v>
      </c>
      <c r="R5">
        <v>0</v>
      </c>
      <c r="S5" t="s">
        <v>93</v>
      </c>
    </row>
    <row r="6" spans="1:19" x14ac:dyDescent="0.45">
      <c r="A6">
        <f t="shared" si="0"/>
        <v>5</v>
      </c>
      <c r="B6" t="s">
        <v>94</v>
      </c>
      <c r="C6" t="s">
        <v>12</v>
      </c>
      <c r="D6" t="s">
        <v>21</v>
      </c>
      <c r="E6">
        <v>5</v>
      </c>
      <c r="F6">
        <v>10</v>
      </c>
      <c r="G6">
        <v>0</v>
      </c>
      <c r="H6">
        <v>0.8</v>
      </c>
      <c r="I6">
        <v>0</v>
      </c>
      <c r="J6" t="s">
        <v>50</v>
      </c>
      <c r="K6">
        <v>0</v>
      </c>
      <c r="M6" t="s">
        <v>95</v>
      </c>
      <c r="O6" t="s">
        <v>77</v>
      </c>
      <c r="P6" t="s">
        <v>73</v>
      </c>
      <c r="Q6">
        <v>10</v>
      </c>
      <c r="R6">
        <v>0.1</v>
      </c>
      <c r="S6" t="s">
        <v>96</v>
      </c>
    </row>
    <row r="7" spans="1:19" x14ac:dyDescent="0.45">
      <c r="A7">
        <f t="shared" si="0"/>
        <v>6</v>
      </c>
      <c r="B7" t="s">
        <v>97</v>
      </c>
      <c r="C7" t="s">
        <v>12</v>
      </c>
      <c r="D7" t="s">
        <v>21</v>
      </c>
      <c r="E7">
        <v>0</v>
      </c>
      <c r="F7">
        <v>30</v>
      </c>
      <c r="G7">
        <v>0</v>
      </c>
      <c r="H7">
        <v>0.8</v>
      </c>
      <c r="I7">
        <v>0</v>
      </c>
      <c r="J7" t="s">
        <v>50</v>
      </c>
      <c r="K7">
        <v>0</v>
      </c>
      <c r="M7" t="s">
        <v>98</v>
      </c>
      <c r="O7" t="s">
        <v>60</v>
      </c>
      <c r="P7" t="s">
        <v>73</v>
      </c>
      <c r="Q7">
        <v>10</v>
      </c>
      <c r="R7">
        <v>2</v>
      </c>
      <c r="S7" t="s">
        <v>99</v>
      </c>
    </row>
    <row r="8" spans="1:19" x14ac:dyDescent="0.45">
      <c r="A8">
        <f t="shared" si="0"/>
        <v>7</v>
      </c>
      <c r="B8" t="s">
        <v>100</v>
      </c>
      <c r="C8" t="s">
        <v>15</v>
      </c>
      <c r="D8" t="s">
        <v>23</v>
      </c>
      <c r="E8">
        <v>0</v>
      </c>
      <c r="F8">
        <v>25</v>
      </c>
      <c r="G8">
        <v>0</v>
      </c>
      <c r="H8">
        <v>0</v>
      </c>
      <c r="I8">
        <v>0</v>
      </c>
      <c r="J8" t="s">
        <v>50</v>
      </c>
      <c r="K8">
        <v>0</v>
      </c>
      <c r="M8" t="s">
        <v>101</v>
      </c>
      <c r="O8" t="s">
        <v>76</v>
      </c>
      <c r="P8" t="s">
        <v>102</v>
      </c>
      <c r="Q8">
        <v>10</v>
      </c>
      <c r="R8">
        <v>1.2</v>
      </c>
      <c r="S8" t="s">
        <v>103</v>
      </c>
    </row>
  </sheetData>
  <phoneticPr fontId="1"/>
  <dataValidations count="2">
    <dataValidation type="decimal" allowBlank="1" showInputMessage="1" showErrorMessage="1" sqref="E2:I8" xr:uid="{1DD7AC07-48F3-4158-AFAE-9A67E1197F38}">
      <formula1>0</formula1>
      <formula2>600</formula2>
    </dataValidation>
    <dataValidation type="whole" allowBlank="1" showInputMessage="1" showErrorMessage="1" sqref="K2:L8" xr:uid="{B03B00ED-E69F-42B4-93A8-7FECF302F58A}">
      <formula1>0</formula1>
      <formula2>600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11</xdr:row>
                    <xdr:rowOff>7620</xdr:rowOff>
                  </from>
                  <to>
                    <xdr:col>19</xdr:col>
                    <xdr:colOff>7620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0A6037-F450-4342-8C2E-1B714890B523}">
          <x14:formula1>
            <xm:f>検索用シート!$A$2:$A$6</xm:f>
          </x14:formula1>
          <xm:sqref>C2:C8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D2:D8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J2:J8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P2:P8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2026-07-21T05:52:31Z</dcterms:modified>
</cp:coreProperties>
</file>