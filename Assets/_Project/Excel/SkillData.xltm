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_Project\Excel\"/>
    </mc:Choice>
  </mc:AlternateContent>
  <xr:revisionPtr revIDLastSave="0" documentId="13_ncr:1_{FE966782-EF99-452E-91E5-174F2DF1B0B9}" xr6:coauthVersionLast="36" xr6:coauthVersionMax="36" xr10:uidLastSave="{00000000-0000-0000-0000-000000000000}"/>
  <bookViews>
    <workbookView xWindow="0" yWindow="0" windowWidth="23040" windowHeight="8124" activeTab="1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9" l="1"/>
  <c r="M3" i="9"/>
  <c r="M4" i="9"/>
  <c r="J2" i="9"/>
  <c r="J3" i="9"/>
  <c r="J4" i="9"/>
  <c r="D2" i="9"/>
  <c r="D3" i="9"/>
  <c r="D4" i="9"/>
  <c r="C2" i="9"/>
  <c r="C3" i="9"/>
  <c r="C4" i="9"/>
  <c r="A4" i="1"/>
  <c r="A3" i="1" l="1"/>
  <c r="A2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<sst xmlns="http://schemas.openxmlformats.org/spreadsheetml/2006/main" count="83" uniqueCount="57">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</sst>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18</xdr:row>
          <xdr:rowOff>7620</xdr:rowOff>
        </xdr:from>
        <xdr:to>
          <xdr:col>15</xdr:col>
          <xdr:colOff>876300</xdr:colOff>
          <xdr:row>20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6F7590A-9A86-457D-B53B-9DFBDA860541}" name="OutputTable" displayName="OutputTable" ref="A1:P4" totalsRowShown="0">
  <autoFilter ref="A1:P4" xr:uid="{FD17B3AB-F71C-47D2-881F-3ED1DC37214A}"/>
  <tableColumns count="16">
    <tableColumn id="1" xr3:uid="{0CC2BD5E-665A-48FC-848D-B54AD2DBC5F7}" name="No"/>
    <tableColumn id="2" xr3:uid="{5BA4AC53-2E2B-4689-B716-673DD93470C9}" name="名前"/>
    <tableColumn id="3" xr3:uid="{4F6FB2B8-C86D-4EF6-9111-0590F1C4DDFB}" name="ターゲット方法">
      <calculatedColumnFormula>VLOOKUP('InputFile(Skill)'!C2, 検索用シート!$A$2:$B$6, 2, FALSE)</calculatedColumnFormula>
    </tableColumn>
    <tableColumn id="4" xr3:uid="{806E7DFA-7ABA-4F87-B22C-B14129EBEC9E}" name="攻撃方法">
      <calculatedColumnFormula>VLOOKUP('InputFile(Skill)'!D2, 検索用シート!$D$2:$E$5, 2, FALSE)</calculatedColumnFormula>
    </tableColumn>
    <tableColumn id="5" xr3:uid="{F9EBBAC3-A556-48BF-9CC2-E462F6298952}" name="値"/>
    <tableColumn id="6" xr3:uid="{F196F6CA-A2CC-4D4E-8271-5AD3BE227296}" name="クールタイム"/>
    <tableColumn id="7" xr3:uid="{936EBAB9-471E-4DB6-9382-9DB9981F75F7}" name="持続時間"/>
    <tableColumn id="8" xr3:uid="{AFE3AF6F-4AB3-4B40-A036-45D7D4B0F497}" name="予備動作時間"/>
    <tableColumn id="9" xr3:uid="{AB5114EC-9505-4E67-83FF-4CF765624F37}" name="移動速度"/>
    <tableColumn id="10" xr3:uid="{55CE9467-313C-44FB-9520-59DD18603FA5}" name="貫通">
      <calculatedColumnFormula>VLOOKUP('InputFile(Skill)'!J2, 検索用シート!$G$2:$H$3, 2, FALSE)</calculatedColumnFormula>
    </tableColumn>
    <tableColumn id="11" xr3:uid="{8F6D42B9-EA2E-48EE-A265-DF63960709E4}" name="反射回数"/>
    <tableColumn id="12" xr3:uid="{962F9204-A76A-4ACC-A503-8B32F8DC4D15}" name="画像パス"/>
    <tableColumn id="13" xr3:uid="{BE6E6AA6-7EC2-494B-8CA4-13F4DFF4D4AA}" name="スキルオブジェクト">
      <calculatedColumnFormula>検索用シート!$J$2 &amp; 'InputFile(Skill)'!M2</calculatedColumnFormula>
    </tableColumn>
    <tableColumn id="14" xr3:uid="{15A91670-CB24-40B2-8B52-6A77E4B23492}" name="効果音"/>
    <tableColumn id="15" xr3:uid="{0CF742B2-6B01-4FA7-BA0F-6CCC43A38C90}" name="付与するエフェクト"/>
    <tableColumn id="16" xr3:uid="{502904AA-1A45-4538-AE32-8273E7871DF1}" name="説明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P4" totalsRowShown="0">
  <autoFilter ref="A1:P4" xr:uid="{1F6AF440-C034-4897-9253-FD1BE22FEFC7}"/>
  <tableColumns count="16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6" xr3:uid="{9CCF76CF-1FE6-4738-BA82-0FC5C7F71760}" name="説明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P4"/>
  <sheetViews>
    <sheetView topLeftCell="D1" workbookViewId="0">
      <selection activeCell="M10" sqref="M10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18.69921875" customWidth="1"/>
    <col min="13" max="13" width="23.796875" bestFit="1" customWidth="1"/>
    <col min="14" max="15" width="18.59765625" customWidth="1"/>
    <col min="16" max="16" width="27.796875" bestFit="1" customWidth="1"/>
    <col min="17" max="17" width="11.5" customWidth="1"/>
  </cols>
  <sheetData>
    <row r="1" spans="1:16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40</v>
      </c>
    </row>
    <row r="2" spans="1:16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10</v>
      </c>
      <c r="J2">
        <f>VLOOKUP('InputFile(Skill)'!J2, 検索用シート!$G$2:$H$3, 2, FALSE)</f>
        <v>1</v>
      </c>
      <c r="K2">
        <v>0</v>
      </c>
      <c r="M2" t="str">
        <f>検索用シート!$J$2 &amp; 'InputFile(Skill)'!M2</f>
        <v>Effect/Skill/NormalArrow</v>
      </c>
      <c r="P2" t="s">
        <v>42</v>
      </c>
    </row>
    <row r="3" spans="1:16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M3" t="str">
        <f>検索用シート!$J$2 &amp; 'InputFile(Skill)'!M3</f>
        <v>Effect/Skill/SrowArrow</v>
      </c>
      <c r="P3" t="s">
        <v>52</v>
      </c>
    </row>
    <row r="4" spans="1:16" x14ac:dyDescent="0.45">
      <c r="A4">
        <v>3</v>
      </c>
      <c r="B4" t="s">
        <v>54</v>
      </c>
      <c r="C4" t="str">
        <f>VLOOKUP('InputFile(Skill)'!C4, 検索用シート!$A$2:$B$6, 2, FALSE)</f>
        <v>LookOn</v>
      </c>
      <c r="D4" t="str">
        <f>VLOOKUP('InputFile(Skill)'!D4, 検索用シート!$D$2:$E$5, 2, FALSE)</f>
        <v>Attack</v>
      </c>
      <c r="E4">
        <v>0</v>
      </c>
      <c r="F4">
        <v>3</v>
      </c>
      <c r="G4">
        <v>0</v>
      </c>
      <c r="H4">
        <v>0.3</v>
      </c>
      <c r="I4">
        <v>0</v>
      </c>
      <c r="J4">
        <f>VLOOKUP('InputFile(Skill)'!J4, 検索用シート!$G$2:$H$3, 2, FALSE)</f>
        <v>-1</v>
      </c>
      <c r="K4">
        <v>0</v>
      </c>
      <c r="M4" t="str">
        <f>検索用シート!$J$2 &amp; 'InputFile(Skill)'!M4</f>
        <v>Effect/Skill/RandomDmgCard</v>
      </c>
      <c r="P4" t="s">
        <v>56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J8"/>
  <sheetViews>
    <sheetView tabSelected="1" workbookViewId="0">
      <selection activeCell="J12" sqref="J12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</cols>
  <sheetData>
    <row r="1" spans="1:10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</row>
    <row r="2" spans="1:10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</row>
    <row r="3" spans="1:10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</row>
    <row r="4" spans="1:10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</row>
    <row r="5" spans="1:10" x14ac:dyDescent="0.45">
      <c r="A5" t="s">
        <v>14</v>
      </c>
      <c r="B5" t="s">
        <v>19</v>
      </c>
      <c r="J5" t="s">
        <v>46</v>
      </c>
    </row>
    <row r="6" spans="1:10" x14ac:dyDescent="0.45">
      <c r="A6" t="s">
        <v>15</v>
      </c>
      <c r="B6" t="s">
        <v>20</v>
      </c>
    </row>
    <row r="7" spans="1:10" x14ac:dyDescent="0.45">
      <c r="J7" t="s">
        <v>47</v>
      </c>
    </row>
    <row r="8" spans="1:10" x14ac:dyDescent="0.45">
      <c r="J8" t="s">
        <v>48</v>
      </c>
    </row>
  </sheetData>
  <mergeCells count="3">
    <mergeCell ref="A1:B1"/>
    <mergeCell ref="D1:E1"/>
    <mergeCell ref="G1:H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P4"/>
  <sheetViews>
    <sheetView topLeftCell="D1" workbookViewId="0">
      <selection activeCell="P9" activeCellId="1" sqref="Q1:Q1048576 P9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0.5976562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0.59765625" customWidth="1"/>
    <col min="13" max="13" width="18.69921875" customWidth="1"/>
    <col min="15" max="15" width="18.59765625" customWidth="1"/>
    <col min="16" max="16" width="27.796875" bestFit="1" customWidth="1"/>
    <col min="17" max="17" width="12.296875" bestFit="1" customWidth="1"/>
  </cols>
  <sheetData>
    <row r="1" spans="1:16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40</v>
      </c>
    </row>
    <row r="2" spans="1:16" x14ac:dyDescent="0.45">
      <c r="A2">
        <f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10</v>
      </c>
      <c r="J2" t="s">
        <v>31</v>
      </c>
      <c r="K2">
        <v>0</v>
      </c>
      <c r="M2" t="s">
        <v>53</v>
      </c>
      <c r="P2" t="s">
        <v>42</v>
      </c>
    </row>
    <row r="3" spans="1:16" x14ac:dyDescent="0.45">
      <c r="A3">
        <f>ROW()-1</f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M3" t="s">
        <v>51</v>
      </c>
      <c r="P3" t="s">
        <v>52</v>
      </c>
    </row>
    <row r="4" spans="1:16" x14ac:dyDescent="0.45">
      <c r="A4">
        <f>ROW()-1</f>
        <v>3</v>
      </c>
      <c r="B4" t="s">
        <v>54</v>
      </c>
      <c r="C4" t="s">
        <v>12</v>
      </c>
      <c r="D4" t="s">
        <v>21</v>
      </c>
      <c r="E4">
        <v>0</v>
      </c>
      <c r="F4">
        <v>3</v>
      </c>
      <c r="G4">
        <v>0</v>
      </c>
      <c r="H4">
        <v>0.3</v>
      </c>
      <c r="I4">
        <v>0</v>
      </c>
      <c r="J4" t="s">
        <v>50</v>
      </c>
      <c r="K4">
        <v>0</v>
      </c>
      <c r="M4" t="s">
        <v>55</v>
      </c>
      <c r="P4" t="s">
        <v>56</v>
      </c>
    </row>
  </sheetData>
  <phoneticPr fontId="1"/>
  <dataValidations count="2">
    <dataValidation type="decimal" allowBlank="1" showInputMessage="1" showErrorMessage="1" sqref="E2:I4" xr:uid="{1DD7AC07-48F3-4158-AFAE-9A67E1197F38}">
      <formula1>0</formula1>
      <formula2>600</formula2>
    </dataValidation>
    <dataValidation type="whole" allowBlank="1" showInputMessage="1" showErrorMessage="1" sqref="K2:L4" xr:uid="{B03B00ED-E69F-42B4-93A8-7FECF302F58A}">
      <formula1>0</formula1>
      <formula2>600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14</xdr:col>
                    <xdr:colOff>0</xdr:colOff>
                    <xdr:row>18</xdr:row>
                    <xdr:rowOff>7620</xdr:rowOff>
                  </from>
                  <to>
                    <xdr:col>15</xdr:col>
                    <xdr:colOff>876300</xdr:colOff>
                    <xdr:row>20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0A6037-F450-4342-8C2E-1B714890B523}">
          <x14:formula1>
            <xm:f>検索用シート!$A$2:$A$6</xm:f>
          </x14:formula1>
          <xm:sqref>C2:C4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D2:D4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2026-07-21T03:34:43Z</dcterms:modified>
</cp:coreProperties>
</file>