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_Project\Excel\"/>
    </mc:Choice>
  </mc:AlternateContent>
  <xr:revisionPtr revIDLastSave="0" documentId="13_ncr:1_{F2A9E2E1-9215-42C4-88FA-4CD987B1B388}" xr6:coauthVersionLast="36" xr6:coauthVersionMax="36" xr10:uidLastSave="{00000000-0000-0000-0000-000000000000}"/>
  <bookViews>
    <workbookView xWindow="0" yWindow="0" windowWidth="23040" windowHeight="8124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9" l="1"/>
  <c r="M3" i="9"/>
  <c r="J2" i="9"/>
  <c r="J3" i="9"/>
  <c r="D2" i="9"/>
  <c r="D3" i="9"/>
  <c r="C2" i="9"/>
  <c r="C3" i="9"/>
  <c r="A3" i="1" l="1"/>
  <c r="A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<sst xmlns="http://schemas.openxmlformats.org/spreadsheetml/2006/main" count="75" uniqueCount="54">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</sst>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7620</xdr:rowOff>
        </xdr:from>
        <xdr:to>
          <xdr:col>15</xdr:col>
          <xdr:colOff>876300</xdr:colOff>
          <xdr:row>19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75AF7A-A367-42A2-9D9E-71E7E9E3BAA8}" name="OutputTable" displayName="OutputTable" ref="A1:P3" totalsRowShown="0">
  <autoFilter ref="A1:P3" xr:uid="{DB98F8DF-985C-4DAB-AAC5-05BB25DD3B65}"/>
  <tableColumns count="16">
    <tableColumn id="1" xr3:uid="{0A2EC1EF-9BA9-4B72-9579-77F27765357D}" name="No"/>
    <tableColumn id="2" xr3:uid="{2208A9AA-293A-4901-A9CB-D6A6A4D48296}" name="名前"/>
    <tableColumn id="3" xr3:uid="{1CD7BCF2-02C2-4CE7-A620-EF0F1E85ABB1}" name="ターゲット方法">
      <calculatedColumnFormula>VLOOKUP('InputFile(Skill)'!C2, 検索用シート!$A$2:$B$6, 2, FALSE)</calculatedColumnFormula>
    </tableColumn>
    <tableColumn id="4" xr3:uid="{872A415D-BFC1-4D82-8C63-85B6B56BAF7B}" name="攻撃方法">
      <calculatedColumnFormula>VLOOKUP('InputFile(Skill)'!D2, 検索用シート!$D$2:$E$5, 2, FALSE)</calculatedColumnFormula>
    </tableColumn>
    <tableColumn id="5" xr3:uid="{6B3AB5A5-FE05-4ED7-9DD6-799C2D73D43B}" name="値"/>
    <tableColumn id="6" xr3:uid="{9DA97EB8-1116-40E0-BD33-C7452A17F9A7}" name="クールタイム"/>
    <tableColumn id="7" xr3:uid="{8EF07D9C-EF89-4D6F-9A54-0C6CD815363D}" name="持続時間"/>
    <tableColumn id="8" xr3:uid="{98250521-D5E9-4537-95BD-EAA37665F8B3}" name="予備動作時間"/>
    <tableColumn id="9" xr3:uid="{D045174D-A41F-438F-9109-924D89CC86F8}" name="移動速度"/>
    <tableColumn id="10" xr3:uid="{4327B955-4087-421D-97DF-978446D65A65}" name="貫通">
      <calculatedColumnFormula>VLOOKUP('InputFile(Skill)'!J2, 検索用シート!$G$2:$H$3, 2, FALSE)</calculatedColumnFormula>
    </tableColumn>
    <tableColumn id="11" xr3:uid="{46F5FF02-5F64-40CE-9C6C-8240316F1409}" name="反射回数"/>
    <tableColumn id="12" xr3:uid="{ECFBCBBB-A66B-49BA-81B6-CC8AEA7E23D4}" name="画像パス"/>
    <tableColumn id="13" xr3:uid="{7B0D20EE-6D0A-4E79-B60E-E87F02E4A53B}" name="スキルオブジェクト">
      <calculatedColumnFormula>検索用シート!$J$2 &amp; 'InputFile(Skill)'!M2</calculatedColumnFormula>
    </tableColumn>
    <tableColumn id="14" xr3:uid="{3578BBE9-D686-4399-A964-D753375AF3E0}" name="効果音"/>
    <tableColumn id="15" xr3:uid="{58DB4ECC-9A40-4CBE-AE59-821C9F5C1EAE}" name="付与するエフェクト"/>
    <tableColumn id="16" xr3:uid="{829A0FF1-D159-4CD9-8645-ACE4708EF4A9}" name="説明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P3" totalsRowShown="0">
  <autoFilter ref="A1:P3" xr:uid="{1F6AF440-C034-4897-9253-FD1BE22FEFC7}"/>
  <tableColumns count="16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6" xr3:uid="{9CCF76CF-1FE6-4738-BA82-0FC5C7F71760}" name="説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P3"/>
  <sheetViews>
    <sheetView tabSelected="1" workbookViewId="0">
      <selection activeCell="M10" sqref="M10"/>
    </sheetView>
  </sheetViews>
  <sheetFormatPr defaultRowHeight="18" x14ac:dyDescent="0.45"/>
  <cols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18.69921875" customWidth="1"/>
    <col min="13" max="13" width="23.796875" bestFit="1" customWidth="1"/>
    <col min="14" max="15" width="18.59765625" customWidth="1"/>
    <col min="16" max="16" width="16.19921875" bestFit="1" customWidth="1"/>
    <col min="17" max="17" width="11.5" customWidth="1"/>
  </cols>
  <sheetData>
    <row r="1" spans="1:16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40</v>
      </c>
    </row>
    <row r="2" spans="1:16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10</v>
      </c>
      <c r="J2">
        <f>VLOOKUP('InputFile(Skill)'!J2, 検索用シート!$G$2:$H$3, 2, FALSE)</f>
        <v>1</v>
      </c>
      <c r="K2">
        <v>0</v>
      </c>
      <c r="M2" t="str">
        <f>検索用シート!$J$2 &amp; 'InputFile(Skill)'!M2</f>
        <v>Effect/Skill/NormalArrow</v>
      </c>
      <c r="P2" t="s">
        <v>42</v>
      </c>
    </row>
    <row r="3" spans="1:16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M3" t="str">
        <f>検索用シート!$J$2 &amp; 'InputFile(Skill)'!M3</f>
        <v>Effect/Skill/SrowArrow</v>
      </c>
      <c r="P3" t="s">
        <v>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J8"/>
  <sheetViews>
    <sheetView workbookViewId="0">
      <selection activeCell="J14" sqref="J14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</cols>
  <sheetData>
    <row r="1" spans="1:10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</row>
    <row r="2" spans="1:10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</row>
    <row r="3" spans="1:10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</row>
    <row r="4" spans="1:10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</row>
    <row r="5" spans="1:10" x14ac:dyDescent="0.45">
      <c r="A5" t="s">
        <v>14</v>
      </c>
      <c r="B5" t="s">
        <v>19</v>
      </c>
      <c r="J5" t="s">
        <v>46</v>
      </c>
    </row>
    <row r="6" spans="1:10" x14ac:dyDescent="0.45">
      <c r="A6" t="s">
        <v>15</v>
      </c>
      <c r="B6" t="s">
        <v>20</v>
      </c>
    </row>
    <row r="7" spans="1:10" x14ac:dyDescent="0.45">
      <c r="J7" t="s">
        <v>47</v>
      </c>
    </row>
    <row r="8" spans="1:10" x14ac:dyDescent="0.45">
      <c r="J8" t="s">
        <v>48</v>
      </c>
    </row>
  </sheetData>
  <mergeCells count="3">
    <mergeCell ref="A1:B1"/>
    <mergeCell ref="D1:E1"/>
    <mergeCell ref="G1:H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P3"/>
  <sheetViews>
    <sheetView topLeftCell="D1" workbookViewId="0">
      <selection activeCell="M8" sqref="M8"/>
    </sheetView>
  </sheetViews>
  <sheetFormatPr defaultRowHeight="18" x14ac:dyDescent="0.45"/>
  <cols>
    <col min="1" max="1" width="5.8984375" bestFit="1" customWidth="1"/>
    <col min="3" max="3" width="16.3984375" bestFit="1" customWidth="1"/>
    <col min="4" max="4" width="10.5976562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0.59765625" customWidth="1"/>
    <col min="13" max="13" width="18.69921875" customWidth="1"/>
    <col min="15" max="15" width="18.59765625" customWidth="1"/>
    <col min="16" max="16" width="18.796875" customWidth="1"/>
    <col min="17" max="17" width="12.296875" bestFit="1" customWidth="1"/>
  </cols>
  <sheetData>
    <row r="1" spans="1:1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40</v>
      </c>
    </row>
    <row r="2" spans="1:16" x14ac:dyDescent="0.45">
      <c r="A2">
        <f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10</v>
      </c>
      <c r="J2" t="s">
        <v>31</v>
      </c>
      <c r="K2">
        <v>0</v>
      </c>
      <c r="M2" t="s">
        <v>53</v>
      </c>
      <c r="P2" t="s">
        <v>42</v>
      </c>
    </row>
    <row r="3" spans="1:16" x14ac:dyDescent="0.45">
      <c r="A3">
        <f>ROW()-1</f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M3" t="s">
        <v>51</v>
      </c>
      <c r="P3" t="s">
        <v>52</v>
      </c>
    </row>
  </sheetData>
  <phoneticPr fontId="1"/>
  <dataValidations count="2">
    <dataValidation type="decimal" allowBlank="1" showInputMessage="1" showErrorMessage="1" sqref="E2:I3" xr:uid="{1DD7AC07-48F3-4158-AFAE-9A67E1197F38}">
      <formula1>0</formula1>
      <formula2>600</formula2>
    </dataValidation>
    <dataValidation type="whole" allowBlank="1" showInputMessage="1" showErrorMessage="1" sqref="K2:L3" xr:uid="{B03B00ED-E69F-42B4-93A8-7FECF302F58A}">
      <formula1>0</formula1>
      <formula2>600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14</xdr:col>
                    <xdr:colOff>0</xdr:colOff>
                    <xdr:row>17</xdr:row>
                    <xdr:rowOff>7620</xdr:rowOff>
                  </from>
                  <to>
                    <xdr:col>15</xdr:col>
                    <xdr:colOff>876300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0A6037-F450-4342-8C2E-1B714890B523}">
          <x14:formula1>
            <xm:f>検索用シート!$A$2:$A$6</xm:f>
          </x14:formula1>
          <xm:sqref>C2:C3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D2:D3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2026-07-21T02:35:47Z</dcterms:modified>
</cp:coreProperties>
</file>