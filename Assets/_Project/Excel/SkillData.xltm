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80001_{37D9BD23-A1EE-4741-8D92-49FDA94127B4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9" l="1"/>
  <c r="D2" i="9"/>
  <c r="C2" i="9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<sst xmlns="http://schemas.openxmlformats.org/spreadsheetml/2006/main" count="60" uniqueCount="43">
  <si>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</si>
  <si>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</si>
  <si>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</si>
  <si>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</si>
  <si>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</si>
  <si>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</si>
  <si>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</si>
  <si>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</si>
  <si>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</si>
  <si>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</si>
  <si>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</si>
  <si>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ファイル名</t>
    <rPh sb="4" eb="5">
      <t>メイ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</si>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</sst>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7620</xdr:rowOff>
        </xdr:from>
        <xdr:to>
          <xdr:col>15</xdr:col>
          <xdr:colOff>876300</xdr:colOff>
          <xdr:row>17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C1656A-3B21-4E30-934B-DCB25C0D3F33}" name="OutputTable" displayName="OutputTable" ref="A1:Q2" totalsRowShown="0">
  <autoFilter ref="A1:Q2" xr:uid="{F7A61E4B-9629-41AA-AF7A-9710D820AFAE}"/>
  <tableColumns count="17">
    <tableColumn id="1" xr3:uid="{B088FBFA-9B69-4F70-B619-700996F16EB7}" name="No"/>
    <tableColumn id="2" xr3:uid="{4FF9BB52-B1E3-40DF-B9CD-9D8DF8CE5591}" name="名前"/>
    <tableColumn id="3" xr3:uid="{1D20C637-18A9-4DD8-86D4-C1F73078C455}" name="ターゲット方法">
      <calculatedColumnFormula>VLOOKUP('InputFile(Skill)'!C2, 検索用シート!$A$2:$B$6, 2, FALSE)</calculatedColumnFormula>
    </tableColumn>
    <tableColumn id="4" xr3:uid="{638286CB-E0D9-4ED3-A2CA-CC75C66638C6}" name="攻撃方法">
      <calculatedColumnFormula>VLOOKUP('InputFile(Skill)'!D2, 検索用シート!$D$2:$E$5, 2, FALSE)</calculatedColumnFormula>
    </tableColumn>
    <tableColumn id="5" xr3:uid="{D579A048-0697-4A14-AD0A-63B8660E28C9}" name="値"/>
    <tableColumn id="6" xr3:uid="{CB61395A-376B-4065-B332-CCF6B8FA648A}" name="クールタイム"/>
    <tableColumn id="7" xr3:uid="{89D2D4A2-5B4C-48B0-93E1-D62A7CCD2A00}" name="持続時間"/>
    <tableColumn id="8" xr3:uid="{9922314A-8DBA-42C2-B7E1-8FA02DFA2B4F}" name="予備動作時間"/>
    <tableColumn id="9" xr3:uid="{F81FC614-E29C-45F0-B7E8-3FF00B2EB223}" name="移動速度"/>
    <tableColumn id="10" xr3:uid="{C0BEE347-D60C-4DF8-9A94-09F335AEB33B}" name="貫通">
      <calculatedColumnFormula>VLOOKUP('InputFile(Skill)'!J2, 検索用シート!$G$2:$H$3, 2, FALSE)</calculatedColumnFormula>
    </tableColumn>
    <tableColumn id="11" xr3:uid="{7751BE15-3E27-4B42-B03D-C9A62B888C58}" name="反射回数"/>
    <tableColumn id="12" xr3:uid="{45C2C311-AC2B-45D1-905B-1930F87F6DCF}" name="画像パス"/>
    <tableColumn id="13" xr3:uid="{CE3270CC-4EC8-47DC-A867-5219F9DD948B}" name="スキルオブジェクト"/>
    <tableColumn id="14" xr3:uid="{97180250-CF31-4711-8450-0688DAF249EA}" name="効果音"/>
    <tableColumn id="15" xr3:uid="{E823832C-6BC6-4D25-8BAF-AA4A0122F5CE}" name="付与するエフェクト"/>
    <tableColumn id="16" xr3:uid="{AF8F4A79-7CA3-4B22-914D-9BD24A774637}" name="説明"/>
    <tableColumn id="17" xr3:uid="{7F5B14F4-26B7-4B50-970D-930FD65372CC}" name="ファイル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Q2" totalsRowShown="0">
  <autoFilter ref="A1:Q2" xr:uid="{1F6AF440-C034-4897-9253-FD1BE22FEFC7}"/>
  <tableColumns count="17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6" xr3:uid="{9CCF76CF-1FE6-4738-BA82-0FC5C7F71760}" name="説明"/>
    <tableColumn id="15" xr3:uid="{0B49A840-05AB-44E5-9338-3EF1F3D54F4E}" name="ファイル名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Q2"/>
  <sheetViews>
    <sheetView workbookViewId="0">
      <selection sqref="A1:Q2"/>
    </sheetView>
  </sheetViews>
  <sheetFormatPr defaultRowHeight="18" x14ac:dyDescent="0.45"/>
  <cols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3" width="18.69921875" customWidth="1"/>
    <col min="14" max="15" width="18.59765625" customWidth="1"/>
    <col min="16" max="17" width="11.5" customWidth="1"/>
  </cols>
  <sheetData>
    <row r="1" spans="1:17" x14ac:dyDescent="0.45">
      <c r="A1" t="s">
        <v>35</v>
      </c>
      <c r="B1" t="s">
        <v>1</v>
      </c>
      <c r="C1" t="s">
        <v>38</v>
      </c>
      <c r="D1" t="s">
        <v>39</v>
      </c>
      <c r="E1" t="s">
        <v>4</v>
      </c>
      <c r="F1" t="s">
        <v>36</v>
      </c>
      <c r="G1" t="s">
        <v>5</v>
      </c>
      <c r="H1" t="s">
        <v>6</v>
      </c>
      <c r="I1" t="s">
        <v>30</v>
      </c>
      <c r="J1" t="s">
        <v>40</v>
      </c>
      <c r="K1" t="s">
        <v>29</v>
      </c>
      <c r="L1" t="s">
        <v>42</v>
      </c>
      <c r="M1" t="s">
        <v>37</v>
      </c>
      <c r="N1" t="s">
        <v>9</v>
      </c>
      <c r="O1" t="s">
        <v>10</v>
      </c>
      <c r="P1" t="s">
        <v>41</v>
      </c>
      <c r="Q1" t="s">
        <v>11</v>
      </c>
    </row>
    <row r="2" spans="1:17" x14ac:dyDescent="0.45">
      <c r="A2">
        <v>1</v>
      </c>
      <c r="B2" t="s">
        <v>31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H6"/>
  <sheetViews>
    <sheetView workbookViewId="0">
      <selection activeCell="J1" sqref="J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</cols>
  <sheetData>
    <row r="1" spans="1:8" x14ac:dyDescent="0.45">
      <c r="A1" s="1" t="s">
        <v>2</v>
      </c>
      <c r="B1" s="1"/>
      <c r="D1" s="1" t="s">
        <v>3</v>
      </c>
      <c r="E1" s="1"/>
      <c r="G1" s="1" t="s">
        <v>28</v>
      </c>
      <c r="H1" s="1"/>
    </row>
    <row r="2" spans="1:8" x14ac:dyDescent="0.45">
      <c r="A2" t="s">
        <v>12</v>
      </c>
      <c r="B2" t="s">
        <v>17</v>
      </c>
      <c r="D2" t="s">
        <v>22</v>
      </c>
      <c r="E2" t="s">
        <v>25</v>
      </c>
      <c r="G2" t="s">
        <v>33</v>
      </c>
      <c r="H2">
        <v>1</v>
      </c>
    </row>
    <row r="3" spans="1:8" x14ac:dyDescent="0.45">
      <c r="A3" t="s">
        <v>14</v>
      </c>
      <c r="B3" t="s">
        <v>18</v>
      </c>
      <c r="D3" t="s">
        <v>23</v>
      </c>
      <c r="E3" t="s">
        <v>26</v>
      </c>
      <c r="G3" t="s">
        <v>34</v>
      </c>
      <c r="H3">
        <v>-1</v>
      </c>
    </row>
    <row r="4" spans="1:8" x14ac:dyDescent="0.45">
      <c r="A4" t="s">
        <v>13</v>
      </c>
      <c r="B4" t="s">
        <v>19</v>
      </c>
      <c r="D4" t="s">
        <v>24</v>
      </c>
      <c r="E4" t="s">
        <v>27</v>
      </c>
    </row>
    <row r="5" spans="1:8" x14ac:dyDescent="0.45">
      <c r="A5" t="s">
        <v>15</v>
      </c>
      <c r="B5" t="s">
        <v>20</v>
      </c>
    </row>
    <row r="6" spans="1:8" x14ac:dyDescent="0.45">
      <c r="A6" t="s">
        <v>16</v>
      </c>
      <c r="B6" t="s">
        <v>21</v>
      </c>
    </row>
  </sheetData>
  <mergeCells count="3">
    <mergeCell ref="A1:B1"/>
    <mergeCell ref="D1:E1"/>
    <mergeCell ref="G1:H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Q2"/>
  <sheetViews>
    <sheetView tabSelected="1" topLeftCell="D1" workbookViewId="0">
      <selection activeCell="Q1" sqref="Q1"/>
    </sheetView>
  </sheetViews>
  <sheetFormatPr defaultRowHeight="18" x14ac:dyDescent="0.45"/>
  <cols>
    <col min="1" max="1" width="5.8984375" bestFit="1" customWidth="1"/>
    <col min="3" max="3" width="16.3984375" bestFit="1" customWidth="1"/>
    <col min="4" max="4" width="10.5976562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0.59765625" customWidth="1"/>
    <col min="13" max="13" width="18.69921875" customWidth="1"/>
    <col min="15" max="15" width="18.59765625" customWidth="1"/>
    <col min="16" max="16" width="18.796875" customWidth="1"/>
    <col min="17" max="17" width="11.5" customWidth="1"/>
  </cols>
  <sheetData>
    <row r="1" spans="1:1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30</v>
      </c>
      <c r="J1" t="s">
        <v>28</v>
      </c>
      <c r="K1" t="s">
        <v>29</v>
      </c>
      <c r="L1" t="s">
        <v>42</v>
      </c>
      <c r="M1" t="s">
        <v>8</v>
      </c>
      <c r="N1" t="s">
        <v>9</v>
      </c>
      <c r="O1" t="s">
        <v>10</v>
      </c>
      <c r="P1" t="s">
        <v>41</v>
      </c>
      <c r="Q1" t="s">
        <v>11</v>
      </c>
    </row>
    <row r="2" spans="1:17" x14ac:dyDescent="0.45">
      <c r="A2">
        <f>ROW()-1</f>
        <v>1</v>
      </c>
      <c r="B2" t="s">
        <v>31</v>
      </c>
      <c r="C2" t="s">
        <v>12</v>
      </c>
      <c r="D2" t="s">
        <v>22</v>
      </c>
      <c r="E2">
        <v>5</v>
      </c>
      <c r="F2">
        <v>10</v>
      </c>
      <c r="G2">
        <v>0</v>
      </c>
      <c r="H2">
        <v>0</v>
      </c>
      <c r="I2">
        <v>10</v>
      </c>
      <c r="J2" t="s">
        <v>32</v>
      </c>
      <c r="K2">
        <v>0</v>
      </c>
    </row>
  </sheetData>
  <phoneticPr fontId="1"/>
  <dataValidations count="2">
    <dataValidation type="decimal" allowBlank="1" showInputMessage="1" showErrorMessage="1" sqref="E2:I2" xr:uid="{1DD7AC07-48F3-4158-AFAE-9A67E1197F38}">
      <formula1>0</formula1>
      <formula2>600</formula2>
    </dataValidation>
    <dataValidation type="whole" allowBlank="1" showInputMessage="1" showErrorMessage="1" sqref="K2:L2" xr:uid="{B03B00ED-E69F-42B4-93A8-7FECF302F58A}">
      <formula1>0</formula1>
      <formula2>600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14</xdr:col>
                    <xdr:colOff>0</xdr:colOff>
                    <xdr:row>15</xdr:row>
                    <xdr:rowOff>7620</xdr:rowOff>
                  </from>
                  <to>
                    <xdr:col>15</xdr:col>
                    <xdr:colOff>876300</xdr:colOff>
                    <xdr:row>17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0A6037-F450-4342-8C2E-1B714890B523}">
          <x14:formula1>
            <xm:f>検索用シート!$A$2:$A$6</xm:f>
          </x14:formula1>
          <xm:sqref>C2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2026-07-17T05:59:02Z</dcterms:modified>
</cp:coreProperties>
</file>