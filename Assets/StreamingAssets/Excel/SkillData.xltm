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reate\Git\Arcanumber\Assets\StreamingAssets\Excel\"/>
    </mc:Choice>
  </mc:AlternateContent>
  <xr:revisionPtr revIDLastSave="0" documentId="13_ncr:1_{2F4A40B1-18F6-4F85-82B6-19A151F2F9A7}" xr6:coauthVersionLast="36" xr6:coauthVersionMax="36" xr10:uidLastSave="{00000000-0000-0000-0000-000000000000}"/>
  <bookViews>
    <workbookView xWindow="0" yWindow="0" windowWidth="23040" windowHeight="8124" activeTab="2" xr2:uid="{ACE5A3DA-4ACA-497A-B029-147F1B70A437}"/>
  </bookViews>
  <sheets>
    <sheet name="SkillData" sheetId="9" r:id="rId1"/>
    <sheet name="検索用シート" sheetId="2" r:id="rId2"/>
    <sheet name="InputFile(Skill)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" i="9" l="1"/>
  <c r="V3" i="9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P2" i="9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O2" i="9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A20" i="1" l="1"/>
  <c r="A19" i="1" l="1"/>
  <c r="A18" i="1" l="1"/>
  <c r="A17" i="1"/>
  <c r="A16" i="1" l="1"/>
  <c r="A15" i="1"/>
  <c r="A14" i="1"/>
  <c r="A13" i="1"/>
  <c r="A4" i="1" l="1"/>
  <c r="A12" i="1" l="1"/>
  <c r="A11" i="1"/>
  <c r="A10" i="1"/>
  <c r="A9" i="1" l="1"/>
  <c r="A8" i="1"/>
  <c r="A7" i="1"/>
  <c r="A6" i="1"/>
  <c r="A2" i="1" l="1"/>
  <c r="A5" i="1" l="1"/>
  <c r="A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FC7FD7-AD0F-42B7-AF59-B8BD762C1CBF}" keepAlive="1" name="クエリ - InputData" description="ブック内の 'InputData' クエリへの接続です。" type="5" refreshedVersion="6" background="1" refreshOnLoad="1" saveData="1">
    <dbPr connection="Provider=Microsoft.Mashup.OleDb.1;Data Source=$Workbook$;Location=InputData;Extended Properties=&quot;&quot;" command="SELECT * FROM [InputData]"/>
  </connection>
</connections>
</file>

<file path=xl/sharedStrings.xml><?xml version="1.0" encoding="utf-8"?>
<sst xmlns="http://schemas.openxmlformats.org/spreadsheetml/2006/main" count="367" uniqueCount="211">
  <si>
    <t>No</t>
    <phoneticPr fontId="1"/>
  </si>
  <si>
    <t>名前</t>
    <rPh sb="0" eb="2">
      <t>ナマエ</t>
    </rPh>
    <phoneticPr fontId="1"/>
  </si>
  <si>
    <t>ターゲット方法</t>
    <rPh sb="5" eb="7">
      <t>ホウホウ</t>
    </rPh>
    <phoneticPr fontId="1"/>
  </si>
  <si>
    <t>攻撃方法</t>
    <rPh sb="0" eb="4">
      <t>コウゲキホウホウ</t>
    </rPh>
    <phoneticPr fontId="1"/>
  </si>
  <si>
    <t>値</t>
    <rPh sb="0" eb="1">
      <t>アタイ</t>
    </rPh>
    <phoneticPr fontId="1"/>
  </si>
  <si>
    <t>持続時間</t>
    <rPh sb="0" eb="4">
      <t>ジゾクジカン</t>
    </rPh>
    <phoneticPr fontId="1"/>
  </si>
  <si>
    <t>予備動作時間</t>
    <rPh sb="0" eb="6">
      <t>ヨビドウサジカン</t>
    </rPh>
    <phoneticPr fontId="1"/>
  </si>
  <si>
    <t>クールタイム</t>
    <phoneticPr fontId="1"/>
  </si>
  <si>
    <t>スキルオブジェクト</t>
    <phoneticPr fontId="1"/>
  </si>
  <si>
    <t>効果音</t>
    <rPh sb="0" eb="3">
      <t>コウカオン</t>
    </rPh>
    <phoneticPr fontId="1"/>
  </si>
  <si>
    <t>付与するエフェクト</t>
    <rPh sb="0" eb="2">
      <t>フヨ</t>
    </rPh>
    <phoneticPr fontId="1"/>
  </si>
  <si>
    <t>方向選択</t>
    <rPh sb="0" eb="4">
      <t>ホウコウセンタク</t>
    </rPh>
    <phoneticPr fontId="1"/>
  </si>
  <si>
    <t>ターゲット指定</t>
    <rPh sb="5" eb="7">
      <t>シテイ</t>
    </rPh>
    <phoneticPr fontId="1"/>
  </si>
  <si>
    <t>ホーミング</t>
    <phoneticPr fontId="1"/>
  </si>
  <si>
    <t>ターゲット指定なし</t>
    <rPh sb="5" eb="7">
      <t>シテイ</t>
    </rPh>
    <phoneticPr fontId="1"/>
  </si>
  <si>
    <t>標準無し</t>
    <rPh sb="0" eb="3">
      <t>ヒョウジュンナ</t>
    </rPh>
    <phoneticPr fontId="1"/>
  </si>
  <si>
    <t>Direction</t>
    <phoneticPr fontId="1"/>
  </si>
  <si>
    <t>AutoFollow</t>
    <phoneticPr fontId="1"/>
  </si>
  <si>
    <t>LookOn</t>
    <phoneticPr fontId="1"/>
  </si>
  <si>
    <t>LookOff</t>
    <phoneticPr fontId="1"/>
  </si>
  <si>
    <t>None</t>
    <phoneticPr fontId="1"/>
  </si>
  <si>
    <t>攻撃</t>
    <rPh sb="0" eb="2">
      <t>コウゲキ</t>
    </rPh>
    <phoneticPr fontId="1"/>
  </si>
  <si>
    <t>回復</t>
    <rPh sb="0" eb="2">
      <t>カイフク</t>
    </rPh>
    <phoneticPr fontId="1"/>
  </si>
  <si>
    <t>エフェクト付与</t>
    <rPh sb="5" eb="7">
      <t>フヨ</t>
    </rPh>
    <phoneticPr fontId="1"/>
  </si>
  <si>
    <t>Attack</t>
    <phoneticPr fontId="1"/>
  </si>
  <si>
    <t>Heal</t>
    <phoneticPr fontId="1"/>
  </si>
  <si>
    <t>Effection</t>
    <phoneticPr fontId="1"/>
  </si>
  <si>
    <t>貫通</t>
    <rPh sb="0" eb="2">
      <t>カンツウ</t>
    </rPh>
    <phoneticPr fontId="1"/>
  </si>
  <si>
    <t>反射回数</t>
    <rPh sb="0" eb="2">
      <t>ハンシャ</t>
    </rPh>
    <rPh sb="2" eb="4">
      <t>カイスウ</t>
    </rPh>
    <phoneticPr fontId="1"/>
  </si>
  <si>
    <t>移動速度</t>
    <rPh sb="0" eb="4">
      <t>イドウソクド</t>
    </rPh>
    <phoneticPr fontId="1"/>
  </si>
  <si>
    <t>貫通矢</t>
    <rPh sb="0" eb="2">
      <t>カンツウ</t>
    </rPh>
    <rPh sb="2" eb="3">
      <t>ヤ</t>
    </rPh>
    <phoneticPr fontId="1"/>
  </si>
  <si>
    <t>する</t>
  </si>
  <si>
    <t>する</t>
    <phoneticPr fontId="1"/>
  </si>
  <si>
    <t>しない</t>
    <phoneticPr fontId="1"/>
  </si>
  <si>
    <t>No</t>
  </si>
  <si>
    <t>クールタイム</t>
  </si>
  <si>
    <t>スキルオブジェクト</t>
  </si>
  <si>
    <t>ターゲット方法</t>
    <phoneticPr fontId="1"/>
  </si>
  <si>
    <t>攻撃方法</t>
    <phoneticPr fontId="1"/>
  </si>
  <si>
    <t>貫通</t>
    <phoneticPr fontId="1"/>
  </si>
  <si>
    <t>説明</t>
    <rPh sb="0" eb="2">
      <t>セツメイ</t>
    </rPh>
    <phoneticPr fontId="1"/>
  </si>
  <si>
    <t>画像パス</t>
    <rPh sb="0" eb="2">
      <t>ガゾウ</t>
    </rPh>
    <phoneticPr fontId="1"/>
  </si>
  <si>
    <t>貫通する矢を放つ</t>
    <rPh sb="0" eb="2">
      <t>カンツウ</t>
    </rPh>
    <rPh sb="4" eb="5">
      <t>ヤ</t>
    </rPh>
    <rPh sb="6" eb="7">
      <t>ハナ</t>
    </rPh>
    <phoneticPr fontId="1"/>
  </si>
  <si>
    <t>スキル用オブジェクトパス</t>
    <rPh sb="3" eb="4">
      <t>ヨウ</t>
    </rPh>
    <phoneticPr fontId="1"/>
  </si>
  <si>
    <t>Effect/Skill/</t>
    <phoneticPr fontId="1"/>
  </si>
  <si>
    <t>効果音パス</t>
    <rPh sb="0" eb="3">
      <t>コウカオン</t>
    </rPh>
    <phoneticPr fontId="1"/>
  </si>
  <si>
    <t>Audio/SE/</t>
    <phoneticPr fontId="1"/>
  </si>
  <si>
    <t>画像パス</t>
    <rPh sb="0" eb="2">
      <t>ガゾウ</t>
    </rPh>
    <phoneticPr fontId="1"/>
  </si>
  <si>
    <t>Sprites/Icon/</t>
    <phoneticPr fontId="1"/>
  </si>
  <si>
    <t>鈍足矢</t>
    <rPh sb="0" eb="2">
      <t>ドンソク</t>
    </rPh>
    <rPh sb="2" eb="3">
      <t>ヤ</t>
    </rPh>
    <phoneticPr fontId="1"/>
  </si>
  <si>
    <t>しない</t>
  </si>
  <si>
    <t>SrowArrow</t>
    <phoneticPr fontId="1"/>
  </si>
  <si>
    <t>鈍足になる矢を放つ</t>
    <rPh sb="0" eb="2">
      <t>ドンソク</t>
    </rPh>
    <rPh sb="5" eb="6">
      <t>ヤ</t>
    </rPh>
    <rPh sb="7" eb="8">
      <t>ハナ</t>
    </rPh>
    <phoneticPr fontId="1"/>
  </si>
  <si>
    <t>NormalArrow</t>
  </si>
  <si>
    <t>運命のカード</t>
    <rPh sb="0" eb="2">
      <t>ウンメイ</t>
    </rPh>
    <phoneticPr fontId="1"/>
  </si>
  <si>
    <t>RandomDmgCard</t>
  </si>
  <si>
    <t>運がいいとダメージが高くなる</t>
    <rPh sb="0" eb="1">
      <t>ウン</t>
    </rPh>
    <rPh sb="10" eb="11">
      <t>タカ</t>
    </rPh>
    <phoneticPr fontId="1"/>
  </si>
  <si>
    <t>エフェクト持続時間</t>
    <rPh sb="5" eb="7">
      <t>ジゾク</t>
    </rPh>
    <rPh sb="7" eb="9">
      <t>ジカン</t>
    </rPh>
    <phoneticPr fontId="1"/>
  </si>
  <si>
    <t>エフェクト数値</t>
    <rPh sb="5" eb="7">
      <t>スウチ</t>
    </rPh>
    <phoneticPr fontId="1"/>
  </si>
  <si>
    <t>エフェクトの種類</t>
    <rPh sb="6" eb="8">
      <t>シュルイ</t>
    </rPh>
    <phoneticPr fontId="1"/>
  </si>
  <si>
    <t>毒</t>
    <rPh sb="0" eb="1">
      <t>ドク</t>
    </rPh>
    <phoneticPr fontId="1"/>
  </si>
  <si>
    <t>回復</t>
    <rPh sb="0" eb="2">
      <t>カイフク</t>
    </rPh>
    <phoneticPr fontId="1"/>
  </si>
  <si>
    <t>無敵</t>
    <rPh sb="0" eb="2">
      <t>ムテキ</t>
    </rPh>
    <phoneticPr fontId="1"/>
  </si>
  <si>
    <t>スキル禁止</t>
    <rPh sb="3" eb="5">
      <t>キンシ</t>
    </rPh>
    <phoneticPr fontId="1"/>
  </si>
  <si>
    <t>ジャンプ禁止</t>
    <rPh sb="4" eb="6">
      <t>キンシ</t>
    </rPh>
    <phoneticPr fontId="1"/>
  </si>
  <si>
    <t>移動反転</t>
    <rPh sb="0" eb="4">
      <t>イドウハンテン</t>
    </rPh>
    <phoneticPr fontId="1"/>
  </si>
  <si>
    <t>スタン</t>
    <phoneticPr fontId="1"/>
  </si>
  <si>
    <t>巨大化</t>
    <rPh sb="0" eb="3">
      <t>キョダイカ</t>
    </rPh>
    <phoneticPr fontId="1"/>
  </si>
  <si>
    <t>縮小化</t>
    <rPh sb="0" eb="3">
      <t>シュクショウカ</t>
    </rPh>
    <phoneticPr fontId="1"/>
  </si>
  <si>
    <t>ATK</t>
    <phoneticPr fontId="1"/>
  </si>
  <si>
    <t>バフか</t>
  </si>
  <si>
    <t>バフか</t>
    <phoneticPr fontId="1"/>
  </si>
  <si>
    <t>バフデバフ</t>
    <phoneticPr fontId="1"/>
  </si>
  <si>
    <t>デバフ</t>
  </si>
  <si>
    <t>デバフ</t>
    <phoneticPr fontId="1"/>
  </si>
  <si>
    <t>バフ</t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</si>
  <si>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</si>
  <si>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</si>
  <si>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速度</t>
    <rPh sb="0" eb="2">
      <t>ソクド</t>
    </rPh>
    <phoneticPr fontId="1"/>
  </si>
  <si>
    <t>DEF</t>
    <phoneticPr fontId="1"/>
  </si>
  <si>
    <t>DEX</t>
    <phoneticPr fontId="1"/>
  </si>
  <si>
    <t>Poison</t>
    <phoneticPr fontId="1"/>
  </si>
  <si>
    <t>Heal</t>
    <phoneticPr fontId="1"/>
  </si>
  <si>
    <t>Invincible</t>
    <phoneticPr fontId="1"/>
  </si>
  <si>
    <t>Silence</t>
    <phoneticPr fontId="1"/>
  </si>
  <si>
    <t>NoJump</t>
  </si>
  <si>
    <t>Reverse</t>
  </si>
  <si>
    <t>Stun</t>
    <phoneticPr fontId="1"/>
  </si>
  <si>
    <t>Giant</t>
    <phoneticPr fontId="1"/>
  </si>
  <si>
    <t>Shrink</t>
  </si>
  <si>
    <t>氷魔法</t>
    <rPh sb="0" eb="3">
      <t>コオリマホウ</t>
    </rPh>
    <phoneticPr fontId="1"/>
  </si>
  <si>
    <t>Ice</t>
    <phoneticPr fontId="1"/>
  </si>
  <si>
    <t>スタン</t>
  </si>
  <si>
    <t>当たると足を止める魔法</t>
    <rPh sb="0" eb="1">
      <t>ア</t>
    </rPh>
    <rPh sb="4" eb="5">
      <t>アシ</t>
    </rPh>
    <rPh sb="6" eb="7">
      <t>ト</t>
    </rPh>
    <rPh sb="9" eb="11">
      <t>マホウ</t>
    </rPh>
    <phoneticPr fontId="1"/>
  </si>
  <si>
    <t>DarkBall</t>
    <phoneticPr fontId="1"/>
  </si>
  <si>
    <t>毒魔法</t>
    <rPh sb="0" eb="3">
      <t>ドクマホウ</t>
    </rPh>
    <phoneticPr fontId="1"/>
  </si>
  <si>
    <t>Poison</t>
    <phoneticPr fontId="1"/>
  </si>
  <si>
    <t>毒を付与する魔法</t>
    <rPh sb="0" eb="1">
      <t>ドク</t>
    </rPh>
    <rPh sb="2" eb="4">
      <t>フヨ</t>
    </rPh>
    <rPh sb="6" eb="8">
      <t>マホウ</t>
    </rPh>
    <phoneticPr fontId="1"/>
  </si>
  <si>
    <t>攻撃薬</t>
    <rPh sb="0" eb="3">
      <t>コウゲキグスリ</t>
    </rPh>
    <phoneticPr fontId="1"/>
  </si>
  <si>
    <t>AtkBuff</t>
    <phoneticPr fontId="1"/>
  </si>
  <si>
    <t>バフ</t>
  </si>
  <si>
    <t>攻撃力を上げる薬</t>
    <rPh sb="0" eb="3">
      <t>コウゲキリョク</t>
    </rPh>
    <rPh sb="4" eb="5">
      <t>ア</t>
    </rPh>
    <rPh sb="7" eb="8">
      <t>クスリ</t>
    </rPh>
    <phoneticPr fontId="1"/>
  </si>
  <si>
    <t>Ice</t>
    <phoneticPr fontId="1"/>
  </si>
  <si>
    <t>DarkBallIcon</t>
    <phoneticPr fontId="1"/>
  </si>
  <si>
    <t>AtkPotionIcon</t>
  </si>
  <si>
    <t>防御薬</t>
    <rPh sb="0" eb="2">
      <t>ボウギョ</t>
    </rPh>
    <rPh sb="2" eb="3">
      <t>クスリ</t>
    </rPh>
    <phoneticPr fontId="1"/>
  </si>
  <si>
    <t>DefPotionIcon</t>
  </si>
  <si>
    <t>防御力を上げる薬</t>
    <rPh sb="0" eb="3">
      <t>ボウギョリョク</t>
    </rPh>
    <rPh sb="4" eb="5">
      <t>ア</t>
    </rPh>
    <rPh sb="7" eb="8">
      <t>クスリ</t>
    </rPh>
    <phoneticPr fontId="1"/>
  </si>
  <si>
    <t>速度薬</t>
    <rPh sb="0" eb="3">
      <t>ソクドクスリ</t>
    </rPh>
    <phoneticPr fontId="1"/>
  </si>
  <si>
    <t>速度を上げる薬</t>
    <rPh sb="0" eb="2">
      <t>ソクド</t>
    </rPh>
    <rPh sb="3" eb="4">
      <t>ア</t>
    </rPh>
    <rPh sb="6" eb="7">
      <t>クスリ</t>
    </rPh>
    <phoneticPr fontId="1"/>
  </si>
  <si>
    <t>SpeedPotionIcon</t>
  </si>
  <si>
    <t>SpeedBuff</t>
    <phoneticPr fontId="1"/>
  </si>
  <si>
    <t>回復薬</t>
    <rPh sb="0" eb="3">
      <t>カイフクヤク</t>
    </rPh>
    <phoneticPr fontId="1"/>
  </si>
  <si>
    <t>HealPotionIcon</t>
  </si>
  <si>
    <t>Heal</t>
    <phoneticPr fontId="1"/>
  </si>
  <si>
    <t>HPを回復する薬</t>
    <rPh sb="3" eb="5">
      <t>カイフク</t>
    </rPh>
    <rPh sb="7" eb="8">
      <t>クスリ</t>
    </rPh>
    <phoneticPr fontId="1"/>
  </si>
  <si>
    <t>DeffBuff</t>
    <phoneticPr fontId="1"/>
  </si>
  <si>
    <t>反射矢</t>
    <rPh sb="0" eb="2">
      <t>ハンシャ</t>
    </rPh>
    <rPh sb="2" eb="3">
      <t>ヤ</t>
    </rPh>
    <phoneticPr fontId="1"/>
  </si>
  <si>
    <t>HormingArrow</t>
  </si>
  <si>
    <t>反射をする矢を放つ</t>
    <rPh sb="0" eb="2">
      <t>ハンシャ</t>
    </rPh>
    <rPh sb="5" eb="6">
      <t>ヤ</t>
    </rPh>
    <rPh sb="7" eb="8">
      <t>ハナ</t>
    </rPh>
    <phoneticPr fontId="1"/>
  </si>
  <si>
    <t>Blackarrow</t>
    <phoneticPr fontId="1"/>
  </si>
  <si>
    <t>Dice</t>
  </si>
  <si>
    <t>Poison</t>
    <phoneticPr fontId="1"/>
  </si>
  <si>
    <t>Bluearrow</t>
    <phoneticPr fontId="1"/>
  </si>
  <si>
    <t>Redarrow</t>
  </si>
  <si>
    <t>Spear</t>
    <phoneticPr fontId="1"/>
  </si>
  <si>
    <t>Ice</t>
    <phoneticPr fontId="1"/>
  </si>
  <si>
    <t>Shadow</t>
    <phoneticPr fontId="1"/>
  </si>
  <si>
    <t>Poison</t>
    <phoneticPr fontId="1"/>
  </si>
  <si>
    <t>Spear</t>
  </si>
  <si>
    <t>Ice</t>
  </si>
  <si>
    <t>Shadow</t>
  </si>
  <si>
    <t>Poison</t>
  </si>
  <si>
    <t>Thunder</t>
  </si>
  <si>
    <t>Thunder</t>
    <phoneticPr fontId="1"/>
  </si>
  <si>
    <t>高いダメージを出す魔法</t>
    <rPh sb="0" eb="1">
      <t>タカ</t>
    </rPh>
    <rPh sb="7" eb="8">
      <t>ダ</t>
    </rPh>
    <rPh sb="9" eb="11">
      <t>マホウ</t>
    </rPh>
    <phoneticPr fontId="1"/>
  </si>
  <si>
    <t>ショットガン</t>
  </si>
  <si>
    <t>ショットガン</t>
    <phoneticPr fontId="1"/>
  </si>
  <si>
    <t>広い範囲に撃つ</t>
    <rPh sb="0" eb="1">
      <t>ヒロ</t>
    </rPh>
    <rPh sb="2" eb="4">
      <t>ハンイ</t>
    </rPh>
    <rPh sb="5" eb="6">
      <t>ウ</t>
    </rPh>
    <phoneticPr fontId="1"/>
  </si>
  <si>
    <t>スナイパー</t>
  </si>
  <si>
    <t>スナイパー</t>
    <phoneticPr fontId="1"/>
  </si>
  <si>
    <t>Sniper</t>
    <phoneticPr fontId="1"/>
  </si>
  <si>
    <t>早い弾を出す</t>
    <rPh sb="0" eb="1">
      <t>ハヤ</t>
    </rPh>
    <rPh sb="2" eb="3">
      <t>タマ</t>
    </rPh>
    <rPh sb="4" eb="5">
      <t>ダ</t>
    </rPh>
    <phoneticPr fontId="1"/>
  </si>
  <si>
    <t>ナイフ</t>
  </si>
  <si>
    <t>ナイフ</t>
    <phoneticPr fontId="1"/>
  </si>
  <si>
    <t>Knife</t>
    <phoneticPr fontId="1"/>
  </si>
  <si>
    <t>３方向にナイフを出す</t>
    <rPh sb="1" eb="3">
      <t>ホウコウ</t>
    </rPh>
    <rPh sb="8" eb="9">
      <t>ダ</t>
    </rPh>
    <phoneticPr fontId="1"/>
  </si>
  <si>
    <t>生成個数</t>
    <rPh sb="0" eb="4">
      <t>セイセイコスウ</t>
    </rPh>
    <phoneticPr fontId="1"/>
  </si>
  <si>
    <t>角度</t>
    <rPh sb="0" eb="2">
      <t>カクド</t>
    </rPh>
    <phoneticPr fontId="1"/>
  </si>
  <si>
    <t>Shotgun</t>
    <phoneticPr fontId="1"/>
  </si>
  <si>
    <t>挙動</t>
    <rPh sb="0" eb="2">
      <t>キョドウ</t>
    </rPh>
    <phoneticPr fontId="1"/>
  </si>
  <si>
    <t>None</t>
    <phoneticPr fontId="1"/>
  </si>
  <si>
    <t>Straight</t>
    <phoneticPr fontId="1"/>
  </si>
  <si>
    <t>Area</t>
    <phoneticPr fontId="1"/>
  </si>
  <si>
    <t>Stationary</t>
    <phoneticPr fontId="1"/>
  </si>
  <si>
    <t>Mine</t>
    <phoneticPr fontId="1"/>
  </si>
  <si>
    <t>Homing</t>
    <phoneticPr fontId="1"/>
  </si>
  <si>
    <t>Boomerang</t>
    <phoneticPr fontId="1"/>
  </si>
  <si>
    <t>Chain</t>
    <phoneticPr fontId="1"/>
  </si>
  <si>
    <t>Split</t>
    <phoneticPr fontId="1"/>
  </si>
  <si>
    <t>Orbit</t>
    <phoneticPr fontId="1"/>
  </si>
  <si>
    <t>Knockback</t>
    <phoneticPr fontId="1"/>
  </si>
  <si>
    <t>デフォルト</t>
  </si>
  <si>
    <t>デフォルト</t>
    <phoneticPr fontId="1"/>
  </si>
  <si>
    <t>直線</t>
    <rPh sb="0" eb="2">
      <t>チョクセン</t>
    </rPh>
    <phoneticPr fontId="1"/>
  </si>
  <si>
    <t>通常</t>
    <rPh sb="0" eb="2">
      <t>ツウジョウ</t>
    </rPh>
    <phoneticPr fontId="1"/>
  </si>
  <si>
    <t>設置型</t>
    <rPh sb="0" eb="3">
      <t>セッチガタ</t>
    </rPh>
    <phoneticPr fontId="1"/>
  </si>
  <si>
    <t>地雷型</t>
    <rPh sb="0" eb="3">
      <t>ジライガタ</t>
    </rPh>
    <phoneticPr fontId="1"/>
  </si>
  <si>
    <t>ホーミング</t>
    <phoneticPr fontId="1"/>
  </si>
  <si>
    <t>戻ってくる</t>
    <rPh sb="0" eb="1">
      <t>モド</t>
    </rPh>
    <phoneticPr fontId="1"/>
  </si>
  <si>
    <t>連鎖型</t>
    <rPh sb="0" eb="3">
      <t>レンサガタ</t>
    </rPh>
    <phoneticPr fontId="1"/>
  </si>
  <si>
    <t>分裂型</t>
    <rPh sb="0" eb="3">
      <t>ブンレツガタ</t>
    </rPh>
    <phoneticPr fontId="1"/>
  </si>
  <si>
    <t>公転型</t>
    <rPh sb="0" eb="3">
      <t>コウテンガタ</t>
    </rPh>
    <phoneticPr fontId="1"/>
  </si>
  <si>
    <t>ノックバック</t>
    <phoneticPr fontId="1"/>
  </si>
  <si>
    <t>TargetPosition</t>
    <phoneticPr fontId="1"/>
  </si>
  <si>
    <t>雷魔法</t>
    <rPh sb="0" eb="1">
      <t>カミナリ</t>
    </rPh>
    <rPh sb="1" eb="3">
      <t>マホウ</t>
    </rPh>
    <phoneticPr fontId="1"/>
  </si>
  <si>
    <t>草魔法</t>
    <rPh sb="0" eb="3">
      <t>クサマホウ</t>
    </rPh>
    <phoneticPr fontId="1"/>
  </si>
  <si>
    <t>防御力を下げる魔法</t>
    <rPh sb="0" eb="3">
      <t>ボウギョリョク</t>
    </rPh>
    <rPh sb="4" eb="5">
      <t>サ</t>
    </rPh>
    <rPh sb="7" eb="9">
      <t>マホウ</t>
    </rPh>
    <phoneticPr fontId="1"/>
  </si>
  <si>
    <t>敵を追尾する魔法</t>
    <rPh sb="0" eb="1">
      <t>テキ</t>
    </rPh>
    <rPh sb="2" eb="4">
      <t>ツイビ</t>
    </rPh>
    <rPh sb="6" eb="8">
      <t>マホウ</t>
    </rPh>
    <phoneticPr fontId="1"/>
  </si>
  <si>
    <t>影魔法</t>
    <rPh sb="0" eb="1">
      <t>カゲ</t>
    </rPh>
    <rPh sb="1" eb="3">
      <t>マホウ</t>
    </rPh>
    <phoneticPr fontId="1"/>
  </si>
  <si>
    <t>闇魔法</t>
    <rPh sb="0" eb="1">
      <t>ヤミ</t>
    </rPh>
    <rPh sb="1" eb="3">
      <t>マホウ</t>
    </rPh>
    <phoneticPr fontId="1"/>
  </si>
  <si>
    <t>自分に帰ってくる魔法を出す</t>
    <rPh sb="0" eb="2">
      <t>ジブン</t>
    </rPh>
    <rPh sb="3" eb="4">
      <t>カエ</t>
    </rPh>
    <rPh sb="8" eb="10">
      <t>マホウ</t>
    </rPh>
    <rPh sb="11" eb="12">
      <t>ダ</t>
    </rPh>
    <phoneticPr fontId="1"/>
  </si>
  <si>
    <t>ホーミング</t>
  </si>
  <si>
    <t>Grass</t>
    <phoneticPr fontId="1"/>
  </si>
  <si>
    <t>Shadow</t>
    <phoneticPr fontId="1"/>
  </si>
  <si>
    <t>水魔法</t>
    <rPh sb="0" eb="3">
      <t>ミズマホウ</t>
    </rPh>
    <phoneticPr fontId="1"/>
  </si>
  <si>
    <t>Water</t>
    <phoneticPr fontId="1"/>
  </si>
  <si>
    <t>攻撃を下げる魔法</t>
    <rPh sb="0" eb="2">
      <t>コウゲキ</t>
    </rPh>
    <rPh sb="3" eb="4">
      <t>サ</t>
    </rPh>
    <rPh sb="6" eb="8">
      <t>マホウ</t>
    </rPh>
    <phoneticPr fontId="1"/>
  </si>
  <si>
    <t>持続攻撃</t>
    <rPh sb="0" eb="2">
      <t>ジゾク</t>
    </rPh>
    <rPh sb="2" eb="4">
      <t>コウゲキ</t>
    </rPh>
    <phoneticPr fontId="1"/>
  </si>
  <si>
    <t>火魔法</t>
    <rPh sb="0" eb="1">
      <t>ヒ</t>
    </rPh>
    <rPh sb="1" eb="3">
      <t>マホウ</t>
    </rPh>
    <phoneticPr fontId="1"/>
  </si>
  <si>
    <t>Fire</t>
    <phoneticPr fontId="1"/>
  </si>
  <si>
    <t>地面に出す範囲魔法</t>
    <rPh sb="0" eb="2">
      <t>ジメン</t>
    </rPh>
    <rPh sb="3" eb="4">
      <t>ダ</t>
    </rPh>
    <rPh sb="5" eb="7">
      <t>ハンイ</t>
    </rPh>
    <rPh sb="7" eb="9">
      <t>マホウ</t>
    </rPh>
    <phoneticPr fontId="1"/>
  </si>
  <si>
    <t>Heal</t>
  </si>
  <si>
    <t>Heal</t>
    <phoneticPr fontId="1"/>
  </si>
  <si>
    <t>Shotgun</t>
  </si>
  <si>
    <t>Sniper</t>
  </si>
  <si>
    <t>Knife</t>
  </si>
  <si>
    <t>Grass</t>
  </si>
  <si>
    <t>Water</t>
  </si>
  <si>
    <t>Fire</t>
  </si>
  <si>
    <t>Buff</t>
  </si>
  <si>
    <t>Buff</t>
    <phoneticPr fontId="1"/>
  </si>
  <si>
    <t>Dark</t>
  </si>
  <si>
    <t>Dark</t>
    <phoneticPr fontId="1"/>
  </si>
  <si>
    <t>Water</t>
    <phoneticPr fontId="1"/>
  </si>
  <si>
    <t>Fire</t>
    <phoneticPr fontId="1"/>
  </si>
  <si>
    <t>Shotgun</t>
    <phoneticPr fontId="1"/>
  </si>
  <si>
    <t>Sniper</t>
    <phoneticPr fontId="1"/>
  </si>
  <si>
    <t>Knife</t>
    <phoneticPr fontId="1"/>
  </si>
  <si>
    <t>Grass</t>
    <phoneticPr fontId="1"/>
  </si>
  <si>
    <t>Dice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</si>
</sst>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1066800</xdr:colOff>
          <xdr:row>24</xdr:row>
          <xdr:rowOff>7620</xdr:rowOff>
        </xdr:from>
        <xdr:to>
          <xdr:col>19</xdr:col>
          <xdr:colOff>7620</xdr:colOff>
          <xdr:row>26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スキル追加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F758C8-003E-4C3C-AA0D-3EAB5CE82564}" name="OutputTable" displayName="OutputTable" ref="A1:V20" totalsRowShown="0">
  <autoFilter ref="A1:V20" xr:uid="{9008F174-35A1-4C4C-ADE9-25A2820966DF}"/>
  <tableColumns count="22">
    <tableColumn id="1" xr3:uid="{911A09F9-3742-4D6C-8FEC-08A9DBB47E2E}" name="No"/>
    <tableColumn id="2" xr3:uid="{30C4A2EB-C745-475B-9BD6-37E5B7E67FB0}" name="名前"/>
    <tableColumn id="3" xr3:uid="{822B54AA-B6A0-41A3-8EC2-30D6CC5639C2}" name="ターゲット方法">
      <calculatedColumnFormula>VLOOKUP('InputFile(Skill)'!C2, 検索用シート!$A$2:$B$6, 2, FALSE)</calculatedColumnFormula>
    </tableColumn>
    <tableColumn id="4" xr3:uid="{DF3C9D00-C967-4541-8E87-07AA2A2F582C}" name="攻撃方法">
      <calculatedColumnFormula>VLOOKUP('InputFile(Skill)'!D2, 検索用シート!$D$2:$E$5, 2, FALSE)</calculatedColumnFormula>
    </tableColumn>
    <tableColumn id="5" xr3:uid="{31DDDB9A-6129-4FD2-87A9-FE658222E44C}" name="値"/>
    <tableColumn id="6" xr3:uid="{DB8C7DD5-1996-4BAF-838A-50AF7A65983B}" name="クールタイム"/>
    <tableColumn id="7" xr3:uid="{D2498378-D24B-4880-B8AA-D5D325A7EDF6}" name="持続時間"/>
    <tableColumn id="8" xr3:uid="{AC8C3587-0F5E-471A-ABBE-F07B1FC83D78}" name="予備動作時間"/>
    <tableColumn id="9" xr3:uid="{0F0B419C-1F96-47A9-AF03-789A5F1DE01A}" name="移動速度"/>
    <tableColumn id="10" xr3:uid="{D1E28F1F-A3C1-48E8-AEB6-B6E1EA5A71D2}" name="貫通">
      <calculatedColumnFormula>VLOOKUP('InputFile(Skill)'!J2, 検索用シート!$G$2:$H$3, 2, FALSE)</calculatedColumnFormula>
    </tableColumn>
    <tableColumn id="11" xr3:uid="{9491CF08-9F44-42A4-9270-E2B0180E4E2A}" name="反射回数"/>
    <tableColumn id="12" xr3:uid="{FF789B0D-50AB-4BB4-937F-FF7DF2E21524}" name="画像パス">
      <calculatedColumnFormula>検索用シート!$J$8 &amp; 'InputFile(Skill)'!L2</calculatedColumnFormula>
    </tableColumn>
    <tableColumn id="13" xr3:uid="{4A0372A5-187B-424D-B43F-96896B6D2925}" name="スキルオブジェクト">
      <calculatedColumnFormula>検索用シート!$J$2 &amp; 'InputFile(Skill)'!M2</calculatedColumnFormula>
    </tableColumn>
    <tableColumn id="14" xr3:uid="{88A59744-A182-4123-BBD1-675368FEB340}" name="効果音"/>
    <tableColumn id="15" xr3:uid="{BE4EEC07-5894-492F-B9FF-98B8E906F6DB}" name="付与するエフェクト">
      <calculatedColumnFormula>IF('InputFile(Skill)'!O2="", "", IFERROR(VLOOKUP('InputFile(Skill)'!O2, 検索用シート!$L$2:$M$14, 2, FALSE), ""))</calculatedColumnFormula>
    </tableColumn>
    <tableColumn id="16" xr3:uid="{09D878BD-40EC-4049-AC41-A4B026D989F8}" name="バフか">
      <calculatedColumnFormula>IF('InputFile(Skill)'!P2="", "", IFERROR(VLOOKUP('InputFile(Skill)'!P2, 検索用シート!$G$6:$H$7, 2, FALSE), ""))</calculatedColumnFormula>
    </tableColumn>
    <tableColumn id="17" xr3:uid="{AB68F4B1-F914-4B9B-8F6A-3F4D17E9911E}" name="エフェクト持続時間"/>
    <tableColumn id="18" xr3:uid="{51D1141A-886A-4131-A3A5-74E3BD4FBEEA}" name="エフェクト数値"/>
    <tableColumn id="19" xr3:uid="{E5F8036F-1BB8-4646-8D61-573ECA84E4D9}" name="説明"/>
    <tableColumn id="20" xr3:uid="{EA998AA9-7CBB-4965-A20C-4A292A257123}" name="生成個数"/>
    <tableColumn id="21" xr3:uid="{94B7023E-F99B-44C1-B871-19F71B204649}" name="角度"/>
    <tableColumn id="22" xr3:uid="{D5B9887C-1BE1-4A02-8A33-FA1AFA88D6E6}" name="挙動">
      <calculatedColumnFormula>VLOOKUP('InputFile(Skill)'!V2, 検索用シート!$A$9:$B$20, 2, 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C45B4-09E7-4B4D-ADE1-37F544AC6A9F}" name="InputData" displayName="InputData" ref="A1:V20" totalsRowShown="0">
  <autoFilter ref="A1:V20" xr:uid="{1F6AF440-C034-4897-9253-FD1BE22FEFC7}"/>
  <tableColumns count="22">
    <tableColumn id="1" xr3:uid="{5CC3D677-44F5-4447-A321-883765F1764D}" name="No">
      <calculatedColumnFormula>ROW()-1</calculatedColumnFormula>
    </tableColumn>
    <tableColumn id="2" xr3:uid="{607802E8-8CF7-40B4-9724-B9C402DBE0E7}" name="名前"/>
    <tableColumn id="3" xr3:uid="{4B7C3121-3457-481E-BD51-4D8EC0266792}" name="ターゲット方法"/>
    <tableColumn id="4" xr3:uid="{98793BE0-943F-4194-A604-221D8D539E72}" name="攻撃方法"/>
    <tableColumn id="5" xr3:uid="{A222576B-8606-43A7-AFF7-7C8C59E15E4C}" name="値"/>
    <tableColumn id="6" xr3:uid="{35785501-3166-4FE4-8296-2B016DC5640E}" name="クールタイム"/>
    <tableColumn id="7" xr3:uid="{5C69CFD8-856B-404F-9267-F64A514F46EA}" name="持続時間"/>
    <tableColumn id="8" xr3:uid="{37DD9C79-512C-4334-BA91-4A8C71AE09C0}" name="予備動作時間"/>
    <tableColumn id="9" xr3:uid="{75F13DD1-C330-4BC8-A342-1689847F64DE}" name="移動速度"/>
    <tableColumn id="10" xr3:uid="{47A1D159-211A-4FF7-B108-9E6D4423576B}" name="貫通"/>
    <tableColumn id="11" xr3:uid="{714F8868-3E23-4A8E-99D2-12774DD830F7}" name="反射回数"/>
    <tableColumn id="17" xr3:uid="{E891C297-7657-455E-85D0-0F449E346AE9}" name="画像パス"/>
    <tableColumn id="12" xr3:uid="{E4475CF7-F40C-4BA0-8D12-B0B5026DC18E}" name="スキルオブジェクト"/>
    <tableColumn id="13" xr3:uid="{C062DEC7-5805-4BD9-B2E9-50BA3F743AD4}" name="効果音"/>
    <tableColumn id="14" xr3:uid="{8A0D1B01-409A-4D07-8B5E-94B1C59762BE}" name="付与するエフェクト"/>
    <tableColumn id="19" xr3:uid="{279F6D50-6D88-4937-8F92-18BF226FF05E}" name="バフか"/>
    <tableColumn id="15" xr3:uid="{C80A62B5-57DA-4A06-A0CE-C3AA9F1851EC}" name="エフェクト持続時間"/>
    <tableColumn id="18" xr3:uid="{E94EC6AA-0726-4035-9926-A8BEAFE9E2C5}" name="エフェクト数値"/>
    <tableColumn id="16" xr3:uid="{9CCF76CF-1FE6-4738-BA82-0FC5C7F71760}" name="説明"/>
    <tableColumn id="20" xr3:uid="{6108AE96-EBD2-426E-B1FC-186294A106F0}" name="生成個数"/>
    <tableColumn id="21" xr3:uid="{B4E92BC2-DA90-44B0-888E-7C5EDD4ABDAB}" name="角度"/>
    <tableColumn id="22" xr3:uid="{5745DB12-2E37-443F-820C-287489D6C092}" name="挙動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FE2E-3BE0-4C64-B583-D5C1285F7841}">
  <sheetPr codeName="Sheet3"/>
  <dimension ref="A1:V20"/>
  <sheetViews>
    <sheetView topLeftCell="M1" workbookViewId="0">
      <selection sqref="A1:V20"/>
    </sheetView>
  </sheetViews>
  <sheetFormatPr defaultRowHeight="18" x14ac:dyDescent="0.45"/>
  <cols>
    <col min="2" max="2" width="12.3984375" bestFit="1" customWidth="1"/>
    <col min="3" max="3" width="15.19921875" customWidth="1"/>
    <col min="4" max="4" width="9.796875" customWidth="1"/>
    <col min="6" max="6" width="13.19921875" customWidth="1"/>
    <col min="7" max="7" width="9.796875" customWidth="1"/>
    <col min="8" max="8" width="13.3984375" customWidth="1"/>
    <col min="9" max="9" width="9.796875" customWidth="1"/>
    <col min="11" max="11" width="9.796875" customWidth="1"/>
    <col min="12" max="12" width="24.09765625" bestFit="1" customWidth="1"/>
    <col min="13" max="13" width="27.59765625" bestFit="1" customWidth="1"/>
    <col min="14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9.796875" customWidth="1"/>
    <col min="22" max="22" width="13.3984375" bestFit="1" customWidth="1"/>
  </cols>
  <sheetData>
    <row r="1" spans="1:22" x14ac:dyDescent="0.45">
      <c r="A1" t="s">
        <v>34</v>
      </c>
      <c r="B1" t="s">
        <v>1</v>
      </c>
      <c r="C1" t="s">
        <v>37</v>
      </c>
      <c r="D1" t="s">
        <v>38</v>
      </c>
      <c r="E1" t="s">
        <v>4</v>
      </c>
      <c r="F1" t="s">
        <v>35</v>
      </c>
      <c r="G1" t="s">
        <v>5</v>
      </c>
      <c r="H1" t="s">
        <v>6</v>
      </c>
      <c r="I1" t="s">
        <v>29</v>
      </c>
      <c r="J1" t="s">
        <v>39</v>
      </c>
      <c r="K1" t="s">
        <v>28</v>
      </c>
      <c r="L1" t="s">
        <v>41</v>
      </c>
      <c r="M1" t="s">
        <v>36</v>
      </c>
      <c r="N1" t="s">
        <v>9</v>
      </c>
      <c r="O1" t="s">
        <v>10</v>
      </c>
      <c r="P1" t="s">
        <v>70</v>
      </c>
      <c r="Q1" t="s">
        <v>57</v>
      </c>
      <c r="R1" t="s">
        <v>58</v>
      </c>
      <c r="S1" t="s">
        <v>40</v>
      </c>
      <c r="T1" t="s">
        <v>147</v>
      </c>
      <c r="U1" t="s">
        <v>148</v>
      </c>
      <c r="V1" t="s">
        <v>150</v>
      </c>
    </row>
    <row r="2" spans="1:22" x14ac:dyDescent="0.45">
      <c r="A2">
        <v>1</v>
      </c>
      <c r="B2" t="s">
        <v>30</v>
      </c>
      <c r="C2" t="str">
        <f>VLOOKUP('InputFile(Skill)'!C2, 検索用シート!$A$2:$B$6, 2, FALSE)</f>
        <v>Direction</v>
      </c>
      <c r="D2" t="str">
        <f>VLOOKUP('InputFile(Skill)'!D2, 検索用シート!$D$2:$E$5, 2, FALSE)</f>
        <v>Attack</v>
      </c>
      <c r="E2">
        <v>5</v>
      </c>
      <c r="F2">
        <v>10</v>
      </c>
      <c r="G2">
        <v>0</v>
      </c>
      <c r="H2">
        <v>0</v>
      </c>
      <c r="I2">
        <v>15</v>
      </c>
      <c r="J2">
        <f>VLOOKUP('InputFile(Skill)'!J2, 検索用シート!$G$2:$H$3, 2, FALSE)</f>
        <v>1</v>
      </c>
      <c r="K2">
        <v>0</v>
      </c>
      <c r="L2" t="str">
        <f>検索用シート!$J$8 &amp; 'InputFile(Skill)'!L2</f>
        <v>Sprites/Icon/Redarrow</v>
      </c>
      <c r="M2" t="str">
        <f>検索用シート!$J$2 &amp; 'InputFile(Skill)'!M2</f>
        <v>Effect/Skill/NormalArrow</v>
      </c>
      <c r="N2" t="s">
        <v>129</v>
      </c>
      <c r="O2" t="str">
        <f>IF('InputFile(Skill)'!O2="", "", IFERROR(VLOOKUP('InputFile(Skill)'!O2, 検索用シート!$L$2:$M$14, 2, FALSE), ""))</f>
        <v/>
      </c>
      <c r="P2" t="str">
        <f>IF('InputFile(Skill)'!P2="", "", IFERROR(VLOOKUP('InputFile(Skill)'!P2, 検索用シート!$G$6:$H$7, 2, FALSE), ""))</f>
        <v/>
      </c>
      <c r="S2" t="s">
        <v>42</v>
      </c>
      <c r="V2" t="str">
        <f>VLOOKUP('InputFile(Skill)'!V2, 検索用シート!$A$9:$B$20, 2, FALSE)</f>
        <v>Straight</v>
      </c>
    </row>
    <row r="3" spans="1:22" x14ac:dyDescent="0.45">
      <c r="A3">
        <v>2</v>
      </c>
      <c r="B3" t="s">
        <v>49</v>
      </c>
      <c r="C3" t="str">
        <f>VLOOKUP('InputFile(Skill)'!C3, 検索用シート!$A$2:$B$6, 2, FALSE)</f>
        <v>Direction</v>
      </c>
      <c r="D3" t="str">
        <f>VLOOKUP('InputFile(Skill)'!D3, 検索用シート!$D$2:$E$5, 2, FALSE)</f>
        <v>Attack</v>
      </c>
      <c r="E3">
        <v>3</v>
      </c>
      <c r="F3">
        <v>10</v>
      </c>
      <c r="G3">
        <v>0</v>
      </c>
      <c r="H3">
        <v>0</v>
      </c>
      <c r="I3">
        <v>10</v>
      </c>
      <c r="J3">
        <f>VLOOKUP('InputFile(Skill)'!J3, 検索用シート!$G$2:$H$3, 2, FALSE)</f>
        <v>-1</v>
      </c>
      <c r="K3">
        <v>0</v>
      </c>
      <c r="L3" t="str">
        <f>検索用シート!$J$8 &amp; 'InputFile(Skill)'!L3</f>
        <v>Sprites/Icon/Bluearrow</v>
      </c>
      <c r="M3" t="str">
        <f>検索用シート!$J$2 &amp; 'InputFile(Skill)'!M3</f>
        <v>Effect/Skill/SrowArrow</v>
      </c>
      <c r="N3" t="s">
        <v>129</v>
      </c>
      <c r="O3" t="str">
        <f>IF('InputFile(Skill)'!O3="", "", IFERROR(VLOOKUP('InputFile(Skill)'!O3, 検索用シート!$L$2:$M$14, 2, FALSE), ""))</f>
        <v>DEX</v>
      </c>
      <c r="P3">
        <f>IF('InputFile(Skill)'!P3="", "", IFERROR(VLOOKUP('InputFile(Skill)'!P3, 検索用シート!$G$6:$H$7, 2, FALSE), ""))</f>
        <v>-1</v>
      </c>
      <c r="Q3">
        <v>5</v>
      </c>
      <c r="R3">
        <v>0.2</v>
      </c>
      <c r="S3" t="s">
        <v>52</v>
      </c>
      <c r="V3" t="str">
        <f>VLOOKUP('InputFile(Skill)'!V3, 検索用シート!$A$9:$B$20, 2, FALSE)</f>
        <v>Straight</v>
      </c>
    </row>
    <row r="4" spans="1:22" x14ac:dyDescent="0.45">
      <c r="A4">
        <v>3</v>
      </c>
      <c r="B4" t="s">
        <v>117</v>
      </c>
      <c r="C4" t="str">
        <f>VLOOKUP('InputFile(Skill)'!C4, 検索用シート!$A$2:$B$6, 2, FALSE)</f>
        <v>Direction</v>
      </c>
      <c r="D4" t="str">
        <f>VLOOKUP('InputFile(Skill)'!D4, 検索用シート!$D$2:$E$5, 2, FALSE)</f>
        <v>Attack</v>
      </c>
      <c r="E4">
        <v>3</v>
      </c>
      <c r="F4">
        <v>10</v>
      </c>
      <c r="G4">
        <v>0</v>
      </c>
      <c r="H4">
        <v>0</v>
      </c>
      <c r="I4">
        <v>5</v>
      </c>
      <c r="J4">
        <f>VLOOKUP('InputFile(Skill)'!J4, 検索用シート!$G$2:$H$3, 2, FALSE)</f>
        <v>-1</v>
      </c>
      <c r="K4">
        <v>5</v>
      </c>
      <c r="L4" t="str">
        <f>検索用シート!$J$8 &amp; 'InputFile(Skill)'!L4</f>
        <v>Sprites/Icon/Blackarrow</v>
      </c>
      <c r="M4" t="str">
        <f>検索用シート!$J$2 &amp; 'InputFile(Skill)'!M4</f>
        <v>Effect/Skill/HormingArrow</v>
      </c>
      <c r="N4" t="s">
        <v>129</v>
      </c>
      <c r="O4" t="str">
        <f>IF('InputFile(Skill)'!O4="", "", IFERROR(VLOOKUP('InputFile(Skill)'!O4, 検索用シート!$L$2:$M$14, 2, FALSE), ""))</f>
        <v/>
      </c>
      <c r="P4" t="str">
        <f>IF('InputFile(Skill)'!P4="", "", IFERROR(VLOOKUP('InputFile(Skill)'!P4, 検索用シート!$G$6:$H$7, 2, FALSE), ""))</f>
        <v/>
      </c>
      <c r="S4" t="s">
        <v>119</v>
      </c>
      <c r="V4" t="str">
        <f>VLOOKUP('InputFile(Skill)'!V4, 検索用シート!$A$9:$B$20, 2, FALSE)</f>
        <v>Straight</v>
      </c>
    </row>
    <row r="5" spans="1:22" x14ac:dyDescent="0.45">
      <c r="A5">
        <v>4</v>
      </c>
      <c r="B5" t="s">
        <v>54</v>
      </c>
      <c r="C5" t="str">
        <f>VLOOKUP('InputFile(Skill)'!C5, 検索用シート!$A$2:$B$6, 2, FALSE)</f>
        <v>LookOn</v>
      </c>
      <c r="D5" t="str">
        <f>VLOOKUP('InputFile(Skill)'!D5, 検索用シート!$D$2:$E$5, 2, FALSE)</f>
        <v>Attack</v>
      </c>
      <c r="E5">
        <v>0</v>
      </c>
      <c r="F5">
        <v>3</v>
      </c>
      <c r="G5">
        <v>0</v>
      </c>
      <c r="H5">
        <v>0.3</v>
      </c>
      <c r="I5">
        <v>0</v>
      </c>
      <c r="J5">
        <f>VLOOKUP('InputFile(Skill)'!J5, 検索用シート!$G$2:$H$3, 2, FALSE)</f>
        <v>-1</v>
      </c>
      <c r="K5">
        <v>0</v>
      </c>
      <c r="L5" t="str">
        <f>検索用シート!$J$8 &amp; 'InputFile(Skill)'!L5</f>
        <v>Sprites/Icon/Dice</v>
      </c>
      <c r="M5" t="str">
        <f>検索用シート!$J$2 &amp; 'InputFile(Skill)'!M5</f>
        <v>Effect/Skill/RandomDmgCard</v>
      </c>
      <c r="N5" t="s">
        <v>121</v>
      </c>
      <c r="O5" t="str">
        <f>IF('InputFile(Skill)'!O5="", "", IFERROR(VLOOKUP('InputFile(Skill)'!O5, 検索用シート!$L$2:$M$14, 2, FALSE), ""))</f>
        <v/>
      </c>
      <c r="P5" t="str">
        <f>IF('InputFile(Skill)'!P5="", "", IFERROR(VLOOKUP('InputFile(Skill)'!P5, 検索用シート!$G$6:$H$7, 2, FALSE), ""))</f>
        <v/>
      </c>
      <c r="S5" t="s">
        <v>56</v>
      </c>
      <c r="V5" t="str">
        <f>VLOOKUP('InputFile(Skill)'!V5, 検索用シート!$A$9:$B$20, 2, FALSE)</f>
        <v>TargetPosition</v>
      </c>
    </row>
    <row r="6" spans="1:22" x14ac:dyDescent="0.45">
      <c r="A6">
        <v>5</v>
      </c>
      <c r="B6" t="s">
        <v>90</v>
      </c>
      <c r="C6" t="str">
        <f>VLOOKUP('InputFile(Skill)'!C6, 検索用シート!$A$2:$B$6, 2, FALSE)</f>
        <v>LookOn</v>
      </c>
      <c r="D6" t="str">
        <f>VLOOKUP('InputFile(Skill)'!D6, 検索用シート!$D$2:$E$5, 2, FALSE)</f>
        <v>Attack</v>
      </c>
      <c r="E6">
        <v>3</v>
      </c>
      <c r="F6">
        <v>10</v>
      </c>
      <c r="G6">
        <v>0</v>
      </c>
      <c r="H6">
        <v>0.5</v>
      </c>
      <c r="I6">
        <v>0</v>
      </c>
      <c r="J6">
        <f>VLOOKUP('InputFile(Skill)'!J6, 検索用シート!$G$2:$H$3, 2, FALSE)</f>
        <v>-1</v>
      </c>
      <c r="K6">
        <v>0</v>
      </c>
      <c r="L6" t="str">
        <f>検索用シート!$J$8 &amp; 'InputFile(Skill)'!L6</f>
        <v>Sprites/Icon/Ice</v>
      </c>
      <c r="M6" t="str">
        <f>検索用シート!$J$2 &amp; 'InputFile(Skill)'!M6</f>
        <v>Effect/Skill/Ice</v>
      </c>
      <c r="N6" t="s">
        <v>130</v>
      </c>
      <c r="O6" t="str">
        <f>IF('InputFile(Skill)'!O6="", "", IFERROR(VLOOKUP('InputFile(Skill)'!O6, 検索用シート!$L$2:$M$14, 2, FALSE), ""))</f>
        <v>Stun</v>
      </c>
      <c r="P6">
        <f>IF('InputFile(Skill)'!P6="", "", IFERROR(VLOOKUP('InputFile(Skill)'!P6, 検索用シート!$G$6:$H$7, 2, FALSE), ""))</f>
        <v>-1</v>
      </c>
      <c r="Q6">
        <v>3</v>
      </c>
      <c r="R6">
        <v>0</v>
      </c>
      <c r="S6" t="s">
        <v>93</v>
      </c>
      <c r="V6" t="str">
        <f>VLOOKUP('InputFile(Skill)'!V6, 検索用シート!$A$9:$B$20, 2, FALSE)</f>
        <v>TargetPosition</v>
      </c>
    </row>
    <row r="7" spans="1:22" x14ac:dyDescent="0.45">
      <c r="A7">
        <v>6</v>
      </c>
      <c r="B7" t="s">
        <v>179</v>
      </c>
      <c r="C7" t="str">
        <f>VLOOKUP('InputFile(Skill)'!C7, 検索用シート!$A$2:$B$6, 2, FALSE)</f>
        <v>LookOn</v>
      </c>
      <c r="D7" t="str">
        <f>VLOOKUP('InputFile(Skill)'!D7, 検索用シート!$D$2:$E$5, 2, FALSE)</f>
        <v>Attack</v>
      </c>
      <c r="E7">
        <v>5</v>
      </c>
      <c r="F7">
        <v>10</v>
      </c>
      <c r="G7">
        <v>0</v>
      </c>
      <c r="H7">
        <v>0.8</v>
      </c>
      <c r="I7">
        <v>0</v>
      </c>
      <c r="J7">
        <f>VLOOKUP('InputFile(Skill)'!J7, 検索用シート!$G$2:$H$3, 2, FALSE)</f>
        <v>-1</v>
      </c>
      <c r="K7">
        <v>0</v>
      </c>
      <c r="L7" t="str">
        <f>検索用シート!$J$8 &amp; 'InputFile(Skill)'!L7</f>
        <v>Sprites/Icon/DarkBallIcon</v>
      </c>
      <c r="M7" t="str">
        <f>検索用シート!$J$2 &amp; 'InputFile(Skill)'!M7</f>
        <v>Effect/Skill/DarkBall</v>
      </c>
      <c r="N7" t="s">
        <v>131</v>
      </c>
      <c r="O7" t="str">
        <f>IF('InputFile(Skill)'!O7="", "", IFERROR(VLOOKUP('InputFile(Skill)'!O7, 検索用シート!$L$2:$M$14, 2, FALSE), ""))</f>
        <v>DEF</v>
      </c>
      <c r="P7">
        <f>IF('InputFile(Skill)'!P7="", "", IFERROR(VLOOKUP('InputFile(Skill)'!P7, 検索用シート!$G$6:$H$7, 2, FALSE), ""))</f>
        <v>-1</v>
      </c>
      <c r="Q7">
        <v>10</v>
      </c>
      <c r="R7">
        <v>0.1</v>
      </c>
      <c r="S7" t="s">
        <v>177</v>
      </c>
      <c r="V7" t="str">
        <f>VLOOKUP('InputFile(Skill)'!V7, 検索用シート!$A$9:$B$20, 2, FALSE)</f>
        <v>TargetPosition</v>
      </c>
    </row>
    <row r="8" spans="1:22" x14ac:dyDescent="0.45">
      <c r="A8">
        <v>7</v>
      </c>
      <c r="B8" t="s">
        <v>95</v>
      </c>
      <c r="C8" t="str">
        <f>VLOOKUP('InputFile(Skill)'!C8, 検索用シート!$A$2:$B$6, 2, FALSE)</f>
        <v>LookOn</v>
      </c>
      <c r="D8" t="str">
        <f>VLOOKUP('InputFile(Skill)'!D8, 検索用シート!$D$2:$E$5, 2, FALSE)</f>
        <v>Attack</v>
      </c>
      <c r="E8">
        <v>0</v>
      </c>
      <c r="F8">
        <v>30</v>
      </c>
      <c r="G8">
        <v>0</v>
      </c>
      <c r="H8">
        <v>0.8</v>
      </c>
      <c r="I8">
        <v>0</v>
      </c>
      <c r="J8">
        <f>VLOOKUP('InputFile(Skill)'!J8, 検索用シート!$G$2:$H$3, 2, FALSE)</f>
        <v>-1</v>
      </c>
      <c r="K8">
        <v>0</v>
      </c>
      <c r="L8" t="str">
        <f>検索用シート!$J$8 &amp; 'InputFile(Skill)'!L8</f>
        <v>Sprites/Icon/Poison</v>
      </c>
      <c r="M8" t="str">
        <f>検索用シート!$J$2 &amp; 'InputFile(Skill)'!M8</f>
        <v>Effect/Skill/Poison</v>
      </c>
      <c r="N8" t="s">
        <v>132</v>
      </c>
      <c r="O8" t="str">
        <f>IF('InputFile(Skill)'!O8="", "", IFERROR(VLOOKUP('InputFile(Skill)'!O8, 検索用シート!$L$2:$M$14, 2, FALSE), ""))</f>
        <v>Poison</v>
      </c>
      <c r="P8">
        <f>IF('InputFile(Skill)'!P8="", "", IFERROR(VLOOKUP('InputFile(Skill)'!P8, 検索用シート!$G$6:$H$7, 2, FALSE), ""))</f>
        <v>-1</v>
      </c>
      <c r="Q8">
        <v>10</v>
      </c>
      <c r="R8">
        <v>2</v>
      </c>
      <c r="S8" t="s">
        <v>97</v>
      </c>
      <c r="V8" t="str">
        <f>VLOOKUP('InputFile(Skill)'!V8, 検索用シート!$A$9:$B$20, 2, FALSE)</f>
        <v>TargetPosition</v>
      </c>
    </row>
    <row r="9" spans="1:22" x14ac:dyDescent="0.45">
      <c r="A9">
        <v>8</v>
      </c>
      <c r="B9" t="s">
        <v>98</v>
      </c>
      <c r="C9" t="str">
        <f>VLOOKUP('InputFile(Skill)'!C9, 検索用シート!$A$2:$B$6, 2, FALSE)</f>
        <v>None</v>
      </c>
      <c r="D9" t="str">
        <f>VLOOKUP('InputFile(Skill)'!D9, 検索用シート!$D$2:$E$5, 2, FALSE)</f>
        <v>Effection</v>
      </c>
      <c r="E9">
        <v>0</v>
      </c>
      <c r="F9">
        <v>25</v>
      </c>
      <c r="G9">
        <v>0</v>
      </c>
      <c r="H9">
        <v>0</v>
      </c>
      <c r="I9">
        <v>0</v>
      </c>
      <c r="J9">
        <f>VLOOKUP('InputFile(Skill)'!J9, 検索用シート!$G$2:$H$3, 2, FALSE)</f>
        <v>-1</v>
      </c>
      <c r="K9">
        <v>0</v>
      </c>
      <c r="L9" t="str">
        <f>検索用シート!$J$8 &amp; 'InputFile(Skill)'!L9</f>
        <v>Sprites/Icon/AtkPotionIcon</v>
      </c>
      <c r="M9" t="str">
        <f>検索用シート!$J$2 &amp; 'InputFile(Skill)'!M9</f>
        <v>Effect/Skill/AtkBuff</v>
      </c>
      <c r="N9" t="s">
        <v>200</v>
      </c>
      <c r="O9" t="str">
        <f>IF('InputFile(Skill)'!O9="", "", IFERROR(VLOOKUP('InputFile(Skill)'!O9, 検索用シート!$L$2:$M$14, 2, FALSE), ""))</f>
        <v>ATK</v>
      </c>
      <c r="P9">
        <f>IF('InputFile(Skill)'!P9="", "", IFERROR(VLOOKUP('InputFile(Skill)'!P9, 検索用シート!$G$6:$H$7, 2, FALSE), ""))</f>
        <v>1</v>
      </c>
      <c r="Q9">
        <v>10</v>
      </c>
      <c r="R9">
        <v>1.2</v>
      </c>
      <c r="S9" t="s">
        <v>101</v>
      </c>
      <c r="V9" t="str">
        <f>VLOOKUP('InputFile(Skill)'!V9, 検索用シート!$A$9:$B$20, 2, FALSE)</f>
        <v>None</v>
      </c>
    </row>
    <row r="10" spans="1:22" x14ac:dyDescent="0.45">
      <c r="A10">
        <v>9</v>
      </c>
      <c r="B10" t="s">
        <v>105</v>
      </c>
      <c r="C10" t="str">
        <f>VLOOKUP('InputFile(Skill)'!C10, 検索用シート!$A$2:$B$6, 2, FALSE)</f>
        <v>None</v>
      </c>
      <c r="D10" t="str">
        <f>VLOOKUP('InputFile(Skill)'!D10, 検索用シート!$D$2:$E$5, 2, FALSE)</f>
        <v>Effection</v>
      </c>
      <c r="E10">
        <v>0</v>
      </c>
      <c r="F10">
        <v>25</v>
      </c>
      <c r="G10">
        <v>0</v>
      </c>
      <c r="H10">
        <v>0</v>
      </c>
      <c r="I10">
        <v>0</v>
      </c>
      <c r="J10">
        <f>VLOOKUP('InputFile(Skill)'!J10, 検索用シート!$G$2:$H$3, 2, FALSE)</f>
        <v>-1</v>
      </c>
      <c r="K10">
        <v>0</v>
      </c>
      <c r="L10" t="str">
        <f>検索用シート!$J$8 &amp; 'InputFile(Skill)'!L10</f>
        <v>Sprites/Icon/DefPotionIcon</v>
      </c>
      <c r="M10" t="str">
        <f>検索用シート!$J$2 &amp; 'InputFile(Skill)'!M10</f>
        <v>Effect/Skill/DeffBuff</v>
      </c>
      <c r="N10" t="s">
        <v>200</v>
      </c>
      <c r="O10" t="str">
        <f>IF('InputFile(Skill)'!O10="", "", IFERROR(VLOOKUP('InputFile(Skill)'!O10, 検索用シート!$L$2:$M$14, 2, FALSE), ""))</f>
        <v>DEF</v>
      </c>
      <c r="P10">
        <f>IF('InputFile(Skill)'!P10="", "", IFERROR(VLOOKUP('InputFile(Skill)'!P10, 検索用シート!$G$6:$H$7, 2, FALSE), ""))</f>
        <v>1</v>
      </c>
      <c r="Q10">
        <v>10</v>
      </c>
      <c r="R10">
        <v>1.5</v>
      </c>
      <c r="S10" t="s">
        <v>107</v>
      </c>
      <c r="V10" t="str">
        <f>VLOOKUP('InputFile(Skill)'!V10, 検索用シート!$A$9:$B$20, 2, FALSE)</f>
        <v>None</v>
      </c>
    </row>
    <row r="11" spans="1:22" x14ac:dyDescent="0.45">
      <c r="A11">
        <v>10</v>
      </c>
      <c r="B11" t="s">
        <v>108</v>
      </c>
      <c r="C11" t="str">
        <f>VLOOKUP('InputFile(Skill)'!C11, 検索用シート!$A$2:$B$6, 2, FALSE)</f>
        <v>None</v>
      </c>
      <c r="D11" t="str">
        <f>VLOOKUP('InputFile(Skill)'!D11, 検索用シート!$D$2:$E$5, 2, FALSE)</f>
        <v>Effection</v>
      </c>
      <c r="E11">
        <v>0</v>
      </c>
      <c r="F11">
        <v>25</v>
      </c>
      <c r="G11">
        <v>0</v>
      </c>
      <c r="H11">
        <v>0</v>
      </c>
      <c r="I11">
        <v>0</v>
      </c>
      <c r="J11">
        <f>VLOOKUP('InputFile(Skill)'!J11, 検索用シート!$G$2:$H$3, 2, FALSE)</f>
        <v>-1</v>
      </c>
      <c r="K11">
        <v>0</v>
      </c>
      <c r="L11" t="str">
        <f>検索用シート!$J$8 &amp; 'InputFile(Skill)'!L11</f>
        <v>Sprites/Icon/SpeedPotionIcon</v>
      </c>
      <c r="M11" t="str">
        <f>検索用シート!$J$2 &amp; 'InputFile(Skill)'!M11</f>
        <v>Effect/Skill/SpeedBuff</v>
      </c>
      <c r="N11" t="s">
        <v>200</v>
      </c>
      <c r="O11" t="str">
        <f>IF('InputFile(Skill)'!O11="", "", IFERROR(VLOOKUP('InputFile(Skill)'!O11, 検索用シート!$L$2:$M$14, 2, FALSE), ""))</f>
        <v>DEX</v>
      </c>
      <c r="P11">
        <f>IF('InputFile(Skill)'!P11="", "", IFERROR(VLOOKUP('InputFile(Skill)'!P11, 検索用シート!$G$6:$H$7, 2, FALSE), ""))</f>
        <v>1</v>
      </c>
      <c r="Q11">
        <v>10</v>
      </c>
      <c r="R11">
        <v>1.5</v>
      </c>
      <c r="S11" t="s">
        <v>109</v>
      </c>
      <c r="V11" t="str">
        <f>VLOOKUP('InputFile(Skill)'!V11, 検索用シート!$A$9:$B$20, 2, FALSE)</f>
        <v>None</v>
      </c>
    </row>
    <row r="12" spans="1:22" x14ac:dyDescent="0.45">
      <c r="A12">
        <v>11</v>
      </c>
      <c r="B12" t="s">
        <v>112</v>
      </c>
      <c r="C12" t="str">
        <f>VLOOKUP('InputFile(Skill)'!C12, 検索用シート!$A$2:$B$6, 2, FALSE)</f>
        <v>None</v>
      </c>
      <c r="D12" t="str">
        <f>VLOOKUP('InputFile(Skill)'!D12, 検索用シート!$D$2:$E$5, 2, FALSE)</f>
        <v>Heal</v>
      </c>
      <c r="E12">
        <v>10</v>
      </c>
      <c r="F12">
        <v>30</v>
      </c>
      <c r="G12">
        <v>0</v>
      </c>
      <c r="H12">
        <v>0</v>
      </c>
      <c r="I12">
        <v>0</v>
      </c>
      <c r="J12">
        <f>VLOOKUP('InputFile(Skill)'!J12, 検索用シート!$G$2:$H$3, 2, FALSE)</f>
        <v>-1</v>
      </c>
      <c r="K12">
        <v>0</v>
      </c>
      <c r="L12" t="str">
        <f>検索用シート!$J$8 &amp; 'InputFile(Skill)'!L12</f>
        <v>Sprites/Icon/HealPotionIcon</v>
      </c>
      <c r="M12" t="str">
        <f>検索用シート!$J$2 &amp; 'InputFile(Skill)'!M12</f>
        <v>Effect/Skill/Heal</v>
      </c>
      <c r="N12" t="s">
        <v>192</v>
      </c>
      <c r="O12" t="str">
        <f>IF('InputFile(Skill)'!O12="", "", IFERROR(VLOOKUP('InputFile(Skill)'!O12, 検索用シート!$L$2:$M$14, 2, FALSE), ""))</f>
        <v/>
      </c>
      <c r="P12" t="str">
        <f>IF('InputFile(Skill)'!P12="", "", IFERROR(VLOOKUP('InputFile(Skill)'!P12, 検索用シート!$G$6:$H$7, 2, FALSE), ""))</f>
        <v/>
      </c>
      <c r="S12" t="s">
        <v>115</v>
      </c>
      <c r="V12" t="str">
        <f>VLOOKUP('InputFile(Skill)'!V12, 検索用シート!$A$9:$B$20, 2, FALSE)</f>
        <v>None</v>
      </c>
    </row>
    <row r="13" spans="1:22" x14ac:dyDescent="0.45">
      <c r="A13">
        <v>12</v>
      </c>
      <c r="B13" t="s">
        <v>175</v>
      </c>
      <c r="C13" t="str">
        <f>VLOOKUP('InputFile(Skill)'!C13, 検索用シート!$A$2:$B$6, 2, FALSE)</f>
        <v>LookOn</v>
      </c>
      <c r="D13" t="str">
        <f>VLOOKUP('InputFile(Skill)'!D13, 検索用シート!$D$2:$E$5, 2, FALSE)</f>
        <v>Attack</v>
      </c>
      <c r="E13">
        <v>10</v>
      </c>
      <c r="F13">
        <v>10</v>
      </c>
      <c r="G13">
        <v>0</v>
      </c>
      <c r="H13">
        <v>0.8</v>
      </c>
      <c r="I13">
        <v>0</v>
      </c>
      <c r="J13">
        <f>VLOOKUP('InputFile(Skill)'!J13, 検索用シート!$G$2:$H$3, 2, FALSE)</f>
        <v>-1</v>
      </c>
      <c r="K13">
        <v>0</v>
      </c>
      <c r="L13" t="str">
        <f>検索用シート!$J$8 &amp; 'InputFile(Skill)'!L13</f>
        <v>Sprites/Icon/Thunder</v>
      </c>
      <c r="M13" t="str">
        <f>検索用シート!$J$2 &amp; 'InputFile(Skill)'!M13</f>
        <v>Effect/Skill/Thunder</v>
      </c>
      <c r="N13" t="s">
        <v>133</v>
      </c>
      <c r="O13" t="str">
        <f>IF('InputFile(Skill)'!O13="", "", IFERROR(VLOOKUP('InputFile(Skill)'!O13, 検索用シート!$L$2:$M$14, 2, FALSE), ""))</f>
        <v/>
      </c>
      <c r="P13" t="str">
        <f>IF('InputFile(Skill)'!P13="", "", IFERROR(VLOOKUP('InputFile(Skill)'!P13, 検索用シート!$G$6:$H$7, 2, FALSE), ""))</f>
        <v/>
      </c>
      <c r="S13" t="s">
        <v>135</v>
      </c>
      <c r="V13" t="str">
        <f>VLOOKUP('InputFile(Skill)'!V13, 検索用シート!$A$9:$B$20, 2, FALSE)</f>
        <v>TargetPosition</v>
      </c>
    </row>
    <row r="14" spans="1:22" x14ac:dyDescent="0.45">
      <c r="A14">
        <v>13</v>
      </c>
      <c r="B14" t="s">
        <v>136</v>
      </c>
      <c r="C14" t="str">
        <f>VLOOKUP('InputFile(Skill)'!C14, 検索用シート!$A$2:$B$6, 2, FALSE)</f>
        <v>Direction</v>
      </c>
      <c r="D14" t="str">
        <f>VLOOKUP('InputFile(Skill)'!D14, 検索用シート!$D$2:$E$5, 2, FALSE)</f>
        <v>Attack</v>
      </c>
      <c r="E14">
        <v>1</v>
      </c>
      <c r="F14">
        <v>10</v>
      </c>
      <c r="G14">
        <v>0</v>
      </c>
      <c r="H14">
        <v>0</v>
      </c>
      <c r="I14">
        <v>20</v>
      </c>
      <c r="J14">
        <f>VLOOKUP('InputFile(Skill)'!J14, 検索用シート!$G$2:$H$3, 2, FALSE)</f>
        <v>-1</v>
      </c>
      <c r="K14">
        <v>0</v>
      </c>
      <c r="L14" t="str">
        <f>検索用シート!$J$8 &amp; 'InputFile(Skill)'!L14</f>
        <v>Sprites/Icon/Shotgun</v>
      </c>
      <c r="M14" t="str">
        <f>検索用シート!$J$2 &amp; 'InputFile(Skill)'!M14</f>
        <v>Effect/Skill/Shotgun</v>
      </c>
      <c r="N14" t="s">
        <v>194</v>
      </c>
      <c r="O14" t="str">
        <f>IF('InputFile(Skill)'!O14="", "", IFERROR(VLOOKUP('InputFile(Skill)'!O14, 検索用シート!$L$2:$M$14, 2, FALSE), ""))</f>
        <v/>
      </c>
      <c r="P14" t="str">
        <f>IF('InputFile(Skill)'!P14="", "", IFERROR(VLOOKUP('InputFile(Skill)'!P14, 検索用シート!$G$6:$H$7, 2, FALSE), ""))</f>
        <v/>
      </c>
      <c r="S14" t="s">
        <v>138</v>
      </c>
      <c r="T14">
        <v>10</v>
      </c>
      <c r="U14">
        <v>60</v>
      </c>
      <c r="V14" t="str">
        <f>VLOOKUP('InputFile(Skill)'!V14, 検索用シート!$A$9:$B$20, 2, FALSE)</f>
        <v>Straight</v>
      </c>
    </row>
    <row r="15" spans="1:22" x14ac:dyDescent="0.45">
      <c r="A15">
        <v>14</v>
      </c>
      <c r="B15" t="s">
        <v>139</v>
      </c>
      <c r="C15" t="str">
        <f>VLOOKUP('InputFile(Skill)'!C15, 検索用シート!$A$2:$B$6, 2, FALSE)</f>
        <v>Direction</v>
      </c>
      <c r="D15" t="str">
        <f>VLOOKUP('InputFile(Skill)'!D15, 検索用シート!$D$2:$E$5, 2, FALSE)</f>
        <v>Attack</v>
      </c>
      <c r="E15">
        <v>8</v>
      </c>
      <c r="F15">
        <v>15</v>
      </c>
      <c r="G15">
        <v>0</v>
      </c>
      <c r="H15">
        <v>0.3</v>
      </c>
      <c r="I15">
        <v>30</v>
      </c>
      <c r="J15">
        <f>VLOOKUP('InputFile(Skill)'!J15, 検索用シート!$G$2:$H$3, 2, FALSE)</f>
        <v>-1</v>
      </c>
      <c r="K15">
        <v>0</v>
      </c>
      <c r="L15" t="str">
        <f>検索用シート!$J$8 &amp; 'InputFile(Skill)'!L15</f>
        <v>Sprites/Icon/Sniper</v>
      </c>
      <c r="M15" t="str">
        <f>検索用シート!$J$2 &amp; 'InputFile(Skill)'!M15</f>
        <v>Effect/Skill/Sniper</v>
      </c>
      <c r="N15" t="s">
        <v>195</v>
      </c>
      <c r="O15" t="str">
        <f>IF('InputFile(Skill)'!O15="", "", IFERROR(VLOOKUP('InputFile(Skill)'!O15, 検索用シート!$L$2:$M$14, 2, FALSE), ""))</f>
        <v/>
      </c>
      <c r="P15" t="str">
        <f>IF('InputFile(Skill)'!P15="", "", IFERROR(VLOOKUP('InputFile(Skill)'!P15, 検索用シート!$G$6:$H$7, 2, FALSE), ""))</f>
        <v/>
      </c>
      <c r="S15" t="s">
        <v>142</v>
      </c>
      <c r="V15" t="str">
        <f>VLOOKUP('InputFile(Skill)'!V15, 検索用シート!$A$9:$B$20, 2, FALSE)</f>
        <v>Straight</v>
      </c>
    </row>
    <row r="16" spans="1:22" x14ac:dyDescent="0.45">
      <c r="A16">
        <v>15</v>
      </c>
      <c r="B16" t="s">
        <v>143</v>
      </c>
      <c r="C16" t="str">
        <f>VLOOKUP('InputFile(Skill)'!C16, 検索用シート!$A$2:$B$6, 2, FALSE)</f>
        <v>Direction</v>
      </c>
      <c r="D16" t="str">
        <f>VLOOKUP('InputFile(Skill)'!D16, 検索用シート!$D$2:$E$5, 2, FALSE)</f>
        <v>Attack</v>
      </c>
      <c r="E16">
        <v>3</v>
      </c>
      <c r="F16">
        <v>10</v>
      </c>
      <c r="G16">
        <v>0</v>
      </c>
      <c r="H16">
        <v>0.2</v>
      </c>
      <c r="I16">
        <v>15</v>
      </c>
      <c r="J16">
        <f>VLOOKUP('InputFile(Skill)'!J16, 検索用シート!$G$2:$H$3, 2, FALSE)</f>
        <v>-1</v>
      </c>
      <c r="K16">
        <v>2</v>
      </c>
      <c r="L16" t="str">
        <f>検索用シート!$J$8 &amp; 'InputFile(Skill)'!L16</f>
        <v>Sprites/Icon/Knife</v>
      </c>
      <c r="M16" t="str">
        <f>検索用シート!$J$2 &amp; 'InputFile(Skill)'!M16</f>
        <v>Effect/Skill/Knife</v>
      </c>
      <c r="N16" t="s">
        <v>196</v>
      </c>
      <c r="O16" t="str">
        <f>IF('InputFile(Skill)'!O16="", "", IFERROR(VLOOKUP('InputFile(Skill)'!O16, 検索用シート!$L$2:$M$14, 2, FALSE), ""))</f>
        <v/>
      </c>
      <c r="P16" t="str">
        <f>IF('InputFile(Skill)'!P16="", "", IFERROR(VLOOKUP('InputFile(Skill)'!P16, 検索用シート!$G$6:$H$7, 2, FALSE), ""))</f>
        <v/>
      </c>
      <c r="S16" t="s">
        <v>146</v>
      </c>
      <c r="T16">
        <v>3</v>
      </c>
      <c r="U16">
        <v>15</v>
      </c>
      <c r="V16" t="str">
        <f>VLOOKUP('InputFile(Skill)'!V16, 検索用シート!$A$9:$B$20, 2, FALSE)</f>
        <v>Straight</v>
      </c>
    </row>
    <row r="17" spans="1:22" x14ac:dyDescent="0.45">
      <c r="A17">
        <v>16</v>
      </c>
      <c r="B17" t="s">
        <v>176</v>
      </c>
      <c r="C17" t="str">
        <f>VLOOKUP('InputFile(Skill)'!C17, 検索用シート!$A$2:$B$6, 2, FALSE)</f>
        <v>Direction</v>
      </c>
      <c r="D17" t="str">
        <f>VLOOKUP('InputFile(Skill)'!D17, 検索用シート!$D$2:$E$5, 2, FALSE)</f>
        <v>Attack</v>
      </c>
      <c r="E17">
        <v>5</v>
      </c>
      <c r="F17">
        <v>10</v>
      </c>
      <c r="G17">
        <v>8</v>
      </c>
      <c r="H17">
        <v>0.5</v>
      </c>
      <c r="I17">
        <v>13</v>
      </c>
      <c r="J17">
        <f>VLOOKUP('InputFile(Skill)'!J17, 検索用シート!$G$2:$H$3, 2, FALSE)</f>
        <v>-1</v>
      </c>
      <c r="K17">
        <v>0</v>
      </c>
      <c r="L17" t="str">
        <f>検索用シート!$J$8 &amp; 'InputFile(Skill)'!L17</f>
        <v>Sprites/Icon/Grass</v>
      </c>
      <c r="M17" t="str">
        <f>検索用シート!$J$2 &amp; 'InputFile(Skill)'!M17</f>
        <v>Effect/Skill/Grass</v>
      </c>
      <c r="N17" t="s">
        <v>197</v>
      </c>
      <c r="O17" t="str">
        <f>IF('InputFile(Skill)'!O17="", "", IFERROR(VLOOKUP('InputFile(Skill)'!O17, 検索用シート!$L$2:$M$14, 2, FALSE), ""))</f>
        <v/>
      </c>
      <c r="P17" t="str">
        <f>IF('InputFile(Skill)'!P17="", "", IFERROR(VLOOKUP('InputFile(Skill)'!P17, 検索用シート!$G$6:$H$7, 2, FALSE), ""))</f>
        <v/>
      </c>
      <c r="S17" t="s">
        <v>181</v>
      </c>
      <c r="V17" t="str">
        <f>VLOOKUP('InputFile(Skill)'!V17, 検索用シート!$A$9:$B$20, 2, FALSE)</f>
        <v>Boomerang</v>
      </c>
    </row>
    <row r="18" spans="1:22" x14ac:dyDescent="0.45">
      <c r="A18">
        <v>17</v>
      </c>
      <c r="B18" t="s">
        <v>180</v>
      </c>
      <c r="C18" t="str">
        <f>VLOOKUP('InputFile(Skill)'!C18, 検索用シート!$A$2:$B$6, 2, FALSE)</f>
        <v>LookOn</v>
      </c>
      <c r="D18" t="str">
        <f>VLOOKUP('InputFile(Skill)'!D18, 検索用シート!$D$2:$E$5, 2, FALSE)</f>
        <v>Attack</v>
      </c>
      <c r="E18">
        <v>5</v>
      </c>
      <c r="F18">
        <v>10</v>
      </c>
      <c r="G18">
        <v>8</v>
      </c>
      <c r="H18">
        <v>0.3</v>
      </c>
      <c r="I18">
        <v>10</v>
      </c>
      <c r="J18">
        <f>VLOOKUP('InputFile(Skill)'!J18, 検索用シート!$G$2:$H$3, 2, FALSE)</f>
        <v>-1</v>
      </c>
      <c r="K18">
        <v>0</v>
      </c>
      <c r="L18" t="str">
        <f>検索用シート!$J$8 &amp; 'InputFile(Skill)'!L18</f>
        <v>Sprites/Icon/Shadow</v>
      </c>
      <c r="M18" t="str">
        <f>検索用シート!$J$2 &amp; 'InputFile(Skill)'!M18</f>
        <v>Effect/Skill/Shadow</v>
      </c>
      <c r="N18" t="s">
        <v>202</v>
      </c>
      <c r="O18" t="str">
        <f>IF('InputFile(Skill)'!O18="", "", IFERROR(VLOOKUP('InputFile(Skill)'!O18, 検索用シート!$L$2:$M$14, 2, FALSE), ""))</f>
        <v/>
      </c>
      <c r="P18" t="str">
        <f>IF('InputFile(Skill)'!P18="", "", IFERROR(VLOOKUP('InputFile(Skill)'!P18, 検索用シート!$G$6:$H$7, 2, FALSE), ""))</f>
        <v/>
      </c>
      <c r="S18" t="s">
        <v>178</v>
      </c>
      <c r="V18" t="str">
        <f>VLOOKUP('InputFile(Skill)'!V18, 検索用シート!$A$9:$B$20, 2, FALSE)</f>
        <v>Homing</v>
      </c>
    </row>
    <row r="19" spans="1:22" x14ac:dyDescent="0.45">
      <c r="A19">
        <v>18</v>
      </c>
      <c r="B19" t="s">
        <v>185</v>
      </c>
      <c r="C19" t="str">
        <f>VLOOKUP('InputFile(Skill)'!C19, 検索用シート!$A$2:$B$6, 2, FALSE)</f>
        <v>LookOn</v>
      </c>
      <c r="D19" t="str">
        <f>VLOOKUP('InputFile(Skill)'!D19, 検索用シート!$D$2:$E$5, 2, FALSE)</f>
        <v>Attack</v>
      </c>
      <c r="E19">
        <v>5</v>
      </c>
      <c r="F19">
        <v>10</v>
      </c>
      <c r="G19">
        <v>0</v>
      </c>
      <c r="H19">
        <v>0.3</v>
      </c>
      <c r="I19">
        <v>0</v>
      </c>
      <c r="J19">
        <f>VLOOKUP('InputFile(Skill)'!J19, 検索用シート!$G$2:$H$3, 2, FALSE)</f>
        <v>-1</v>
      </c>
      <c r="K19">
        <v>0</v>
      </c>
      <c r="L19" t="str">
        <f>検索用シート!$J$8 &amp; 'InputFile(Skill)'!L19</f>
        <v>Sprites/Icon/Water</v>
      </c>
      <c r="M19" t="str">
        <f>検索用シート!$J$2 &amp; 'InputFile(Skill)'!M19</f>
        <v>Effect/Skill/Water</v>
      </c>
      <c r="N19" t="s">
        <v>198</v>
      </c>
      <c r="O19" t="str">
        <f>IF('InputFile(Skill)'!O19="", "", IFERROR(VLOOKUP('InputFile(Skill)'!O19, 検索用シート!$L$2:$M$14, 2, FALSE), ""))</f>
        <v>ATK</v>
      </c>
      <c r="P19">
        <f>IF('InputFile(Skill)'!P19="", "", IFERROR(VLOOKUP('InputFile(Skill)'!P19, 検索用シート!$G$6:$H$7, 2, FALSE), ""))</f>
        <v>-1</v>
      </c>
      <c r="Q19">
        <v>10</v>
      </c>
      <c r="R19">
        <v>0.2</v>
      </c>
      <c r="S19" t="s">
        <v>187</v>
      </c>
      <c r="V19" t="str">
        <f>VLOOKUP('InputFile(Skill)'!V19, 検索用シート!$A$9:$B$20, 2, FALSE)</f>
        <v>TargetPosition</v>
      </c>
    </row>
    <row r="20" spans="1:22" x14ac:dyDescent="0.45">
      <c r="A20">
        <v>19</v>
      </c>
      <c r="B20" t="s">
        <v>189</v>
      </c>
      <c r="C20" t="str">
        <f>VLOOKUP('InputFile(Skill)'!C20, 検索用シート!$A$2:$B$6, 2, FALSE)</f>
        <v>LookOn</v>
      </c>
      <c r="D20" t="str">
        <f>VLOOKUP('InputFile(Skill)'!D20, 検索用シート!$D$2:$E$5, 2, FALSE)</f>
        <v>Attack</v>
      </c>
      <c r="E20">
        <v>0.5</v>
      </c>
      <c r="F20">
        <v>20</v>
      </c>
      <c r="G20">
        <v>8</v>
      </c>
      <c r="H20">
        <v>0.6</v>
      </c>
      <c r="I20">
        <v>0</v>
      </c>
      <c r="J20">
        <f>VLOOKUP('InputFile(Skill)'!J20, 検索用シート!$G$2:$H$3, 2, FALSE)</f>
        <v>-1</v>
      </c>
      <c r="K20">
        <v>0</v>
      </c>
      <c r="L20" t="str">
        <f>検索用シート!$J$8 &amp; 'InputFile(Skill)'!L20</f>
        <v>Sprites/Icon/Fire</v>
      </c>
      <c r="M20" t="str">
        <f>検索用シート!$J$2 &amp; 'InputFile(Skill)'!M20</f>
        <v>Effect/Skill/Fire</v>
      </c>
      <c r="N20" t="s">
        <v>199</v>
      </c>
      <c r="O20" t="str">
        <f>IF('InputFile(Skill)'!O20="", "", IFERROR(VLOOKUP('InputFile(Skill)'!O20, 検索用シート!$L$2:$M$14, 2, FALSE), ""))</f>
        <v/>
      </c>
      <c r="P20" t="str">
        <f>IF('InputFile(Skill)'!P20="", "", IFERROR(VLOOKUP('InputFile(Skill)'!P20, 検索用シート!$G$6:$H$7, 2, FALSE), ""))</f>
        <v/>
      </c>
      <c r="S20" t="s">
        <v>191</v>
      </c>
      <c r="V20" t="str">
        <f>VLOOKUP('InputFile(Skill)'!V20, 検索用シート!$A$9:$B$20, 2, FALSE)</f>
        <v>Area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92BB-9E1C-4ED7-9754-2D9D98E573B0}">
  <sheetPr codeName="Sheet1"/>
  <dimension ref="A1:M20"/>
  <sheetViews>
    <sheetView topLeftCell="A2" workbookViewId="0">
      <selection activeCell="D11" sqref="D11"/>
    </sheetView>
  </sheetViews>
  <sheetFormatPr defaultRowHeight="18" x14ac:dyDescent="0.45"/>
  <cols>
    <col min="1" max="1" width="18.296875" bestFit="1" customWidth="1"/>
    <col min="2" max="2" width="10.796875" bestFit="1" customWidth="1"/>
    <col min="4" max="4" width="14.19921875" bestFit="1" customWidth="1"/>
    <col min="10" max="10" width="24" bestFit="1" customWidth="1"/>
    <col min="12" max="12" width="16.19921875" bestFit="1" customWidth="1"/>
  </cols>
  <sheetData>
    <row r="1" spans="1:13" x14ac:dyDescent="0.45">
      <c r="A1" s="1" t="s">
        <v>2</v>
      </c>
      <c r="B1" s="1"/>
      <c r="D1" s="1" t="s">
        <v>3</v>
      </c>
      <c r="E1" s="1"/>
      <c r="G1" s="1" t="s">
        <v>27</v>
      </c>
      <c r="H1" s="1"/>
      <c r="J1" t="s">
        <v>43</v>
      </c>
      <c r="L1" s="1" t="s">
        <v>59</v>
      </c>
      <c r="M1" s="1"/>
    </row>
    <row r="2" spans="1:13" x14ac:dyDescent="0.45">
      <c r="A2" t="s">
        <v>11</v>
      </c>
      <c r="B2" t="s">
        <v>16</v>
      </c>
      <c r="D2" t="s">
        <v>21</v>
      </c>
      <c r="E2" t="s">
        <v>24</v>
      </c>
      <c r="G2" t="s">
        <v>32</v>
      </c>
      <c r="H2">
        <v>1</v>
      </c>
      <c r="J2" t="s">
        <v>44</v>
      </c>
      <c r="L2" t="s">
        <v>76</v>
      </c>
      <c r="M2" t="s">
        <v>69</v>
      </c>
    </row>
    <row r="3" spans="1:13" x14ac:dyDescent="0.45">
      <c r="A3" t="s">
        <v>13</v>
      </c>
      <c r="B3" t="s">
        <v>17</v>
      </c>
      <c r="D3" t="s">
        <v>22</v>
      </c>
      <c r="E3" t="s">
        <v>25</v>
      </c>
      <c r="G3" t="s">
        <v>33</v>
      </c>
      <c r="H3">
        <v>-1</v>
      </c>
      <c r="L3" t="s">
        <v>77</v>
      </c>
      <c r="M3" t="s">
        <v>79</v>
      </c>
    </row>
    <row r="4" spans="1:13" x14ac:dyDescent="0.45">
      <c r="A4" t="s">
        <v>12</v>
      </c>
      <c r="B4" t="s">
        <v>18</v>
      </c>
      <c r="D4" t="s">
        <v>23</v>
      </c>
      <c r="E4" t="s">
        <v>26</v>
      </c>
      <c r="J4" t="s">
        <v>45</v>
      </c>
      <c r="L4" t="s">
        <v>78</v>
      </c>
      <c r="M4" t="s">
        <v>80</v>
      </c>
    </row>
    <row r="5" spans="1:13" x14ac:dyDescent="0.45">
      <c r="A5" t="s">
        <v>14</v>
      </c>
      <c r="B5" t="s">
        <v>19</v>
      </c>
      <c r="G5" s="1" t="s">
        <v>72</v>
      </c>
      <c r="H5" s="1"/>
      <c r="J5" t="s">
        <v>46</v>
      </c>
      <c r="L5" t="s">
        <v>60</v>
      </c>
      <c r="M5" t="s">
        <v>81</v>
      </c>
    </row>
    <row r="6" spans="1:13" x14ac:dyDescent="0.45">
      <c r="A6" t="s">
        <v>15</v>
      </c>
      <c r="B6" t="s">
        <v>20</v>
      </c>
      <c r="G6" t="s">
        <v>75</v>
      </c>
      <c r="H6">
        <v>1</v>
      </c>
      <c r="L6" t="s">
        <v>61</v>
      </c>
      <c r="M6" t="s">
        <v>82</v>
      </c>
    </row>
    <row r="7" spans="1:13" x14ac:dyDescent="0.45">
      <c r="G7" t="s">
        <v>74</v>
      </c>
      <c r="H7">
        <v>-1</v>
      </c>
      <c r="J7" t="s">
        <v>47</v>
      </c>
      <c r="L7" t="s">
        <v>62</v>
      </c>
      <c r="M7" t="s">
        <v>83</v>
      </c>
    </row>
    <row r="8" spans="1:13" x14ac:dyDescent="0.45">
      <c r="J8" t="s">
        <v>48</v>
      </c>
      <c r="L8" t="s">
        <v>63</v>
      </c>
      <c r="M8" t="s">
        <v>84</v>
      </c>
    </row>
    <row r="9" spans="1:13" x14ac:dyDescent="0.45">
      <c r="A9" t="s">
        <v>163</v>
      </c>
      <c r="B9" t="s">
        <v>151</v>
      </c>
      <c r="L9" t="s">
        <v>64</v>
      </c>
      <c r="M9" t="s">
        <v>85</v>
      </c>
    </row>
    <row r="10" spans="1:13" x14ac:dyDescent="0.45">
      <c r="A10" t="s">
        <v>164</v>
      </c>
      <c r="B10" t="s">
        <v>152</v>
      </c>
      <c r="L10" t="s">
        <v>65</v>
      </c>
      <c r="M10" t="s">
        <v>86</v>
      </c>
    </row>
    <row r="11" spans="1:13" x14ac:dyDescent="0.45">
      <c r="A11" t="s">
        <v>165</v>
      </c>
      <c r="B11" t="s">
        <v>174</v>
      </c>
      <c r="L11" t="s">
        <v>66</v>
      </c>
      <c r="M11" t="s">
        <v>87</v>
      </c>
    </row>
    <row r="12" spans="1:13" x14ac:dyDescent="0.45">
      <c r="A12" t="s">
        <v>188</v>
      </c>
      <c r="B12" t="s">
        <v>153</v>
      </c>
      <c r="L12" t="s">
        <v>67</v>
      </c>
      <c r="M12" t="s">
        <v>88</v>
      </c>
    </row>
    <row r="13" spans="1:13" x14ac:dyDescent="0.45">
      <c r="A13" t="s">
        <v>166</v>
      </c>
      <c r="B13" t="s">
        <v>154</v>
      </c>
      <c r="L13" t="s">
        <v>68</v>
      </c>
      <c r="M13" t="s">
        <v>89</v>
      </c>
    </row>
    <row r="14" spans="1:13" x14ac:dyDescent="0.45">
      <c r="A14" t="s">
        <v>167</v>
      </c>
      <c r="B14" t="s">
        <v>155</v>
      </c>
    </row>
    <row r="15" spans="1:13" x14ac:dyDescent="0.45">
      <c r="A15" t="s">
        <v>168</v>
      </c>
      <c r="B15" t="s">
        <v>156</v>
      </c>
    </row>
    <row r="16" spans="1:13" x14ac:dyDescent="0.45">
      <c r="A16" t="s">
        <v>169</v>
      </c>
      <c r="B16" t="s">
        <v>157</v>
      </c>
    </row>
    <row r="17" spans="1:2" x14ac:dyDescent="0.45">
      <c r="A17" t="s">
        <v>170</v>
      </c>
      <c r="B17" t="s">
        <v>158</v>
      </c>
    </row>
    <row r="18" spans="1:2" x14ac:dyDescent="0.45">
      <c r="A18" t="s">
        <v>171</v>
      </c>
      <c r="B18" t="s">
        <v>159</v>
      </c>
    </row>
    <row r="19" spans="1:2" x14ac:dyDescent="0.45">
      <c r="A19" t="s">
        <v>172</v>
      </c>
      <c r="B19" t="s">
        <v>160</v>
      </c>
    </row>
    <row r="20" spans="1:2" x14ac:dyDescent="0.45">
      <c r="A20" t="s">
        <v>173</v>
      </c>
      <c r="B20" t="s">
        <v>161</v>
      </c>
    </row>
  </sheetData>
  <mergeCells count="5">
    <mergeCell ref="A1:B1"/>
    <mergeCell ref="D1:E1"/>
    <mergeCell ref="G1:H1"/>
    <mergeCell ref="L1:M1"/>
    <mergeCell ref="G5:H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288B-7ABB-4807-ACBA-6679B5FA8B2D}">
  <sheetPr codeName="Sheet2"/>
  <dimension ref="A1:V20"/>
  <sheetViews>
    <sheetView tabSelected="1" zoomScaleNormal="100" workbookViewId="0">
      <selection activeCell="N6" sqref="N6"/>
    </sheetView>
  </sheetViews>
  <sheetFormatPr defaultRowHeight="18" x14ac:dyDescent="0.45"/>
  <cols>
    <col min="1" max="1" width="5.8984375" bestFit="1" customWidth="1"/>
    <col min="2" max="2" width="12.3984375" bestFit="1" customWidth="1"/>
    <col min="3" max="3" width="16.3984375" bestFit="1" customWidth="1"/>
    <col min="4" max="4" width="14.19921875" bestFit="1" customWidth="1"/>
    <col min="5" max="5" width="5.19921875" bestFit="1" customWidth="1"/>
    <col min="6" max="6" width="14.19921875" bestFit="1" customWidth="1"/>
    <col min="7" max="7" width="10.59765625" bestFit="1" customWidth="1"/>
    <col min="8" max="8" width="14.3984375" bestFit="1" customWidth="1"/>
    <col min="9" max="9" width="12.3984375" customWidth="1"/>
    <col min="10" max="10" width="9" customWidth="1"/>
    <col min="11" max="11" width="10.59765625" bestFit="1" customWidth="1"/>
    <col min="12" max="12" width="15.69921875" bestFit="1" customWidth="1"/>
    <col min="13" max="13" width="18.69921875" customWidth="1"/>
    <col min="15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10.59765625" bestFit="1" customWidth="1"/>
    <col min="22" max="22" width="10.296875" bestFit="1" customWidth="1"/>
  </cols>
  <sheetData>
    <row r="1" spans="1:22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29</v>
      </c>
      <c r="J1" t="s">
        <v>27</v>
      </c>
      <c r="K1" t="s">
        <v>28</v>
      </c>
      <c r="L1" t="s">
        <v>41</v>
      </c>
      <c r="M1" t="s">
        <v>8</v>
      </c>
      <c r="N1" t="s">
        <v>9</v>
      </c>
      <c r="O1" t="s">
        <v>10</v>
      </c>
      <c r="P1" t="s">
        <v>71</v>
      </c>
      <c r="Q1" t="s">
        <v>57</v>
      </c>
      <c r="R1" t="s">
        <v>58</v>
      </c>
      <c r="S1" t="s">
        <v>40</v>
      </c>
      <c r="T1" t="s">
        <v>147</v>
      </c>
      <c r="U1" t="s">
        <v>148</v>
      </c>
      <c r="V1" t="s">
        <v>150</v>
      </c>
    </row>
    <row r="2" spans="1:22" x14ac:dyDescent="0.45">
      <c r="A2">
        <f t="shared" ref="A2:A9" si="0">ROW()-1</f>
        <v>1</v>
      </c>
      <c r="B2" t="s">
        <v>30</v>
      </c>
      <c r="C2" t="s">
        <v>11</v>
      </c>
      <c r="D2" t="s">
        <v>21</v>
      </c>
      <c r="E2">
        <v>5</v>
      </c>
      <c r="F2">
        <v>10</v>
      </c>
      <c r="G2">
        <v>0</v>
      </c>
      <c r="H2">
        <v>0</v>
      </c>
      <c r="I2">
        <v>15</v>
      </c>
      <c r="J2" t="s">
        <v>31</v>
      </c>
      <c r="K2">
        <v>0</v>
      </c>
      <c r="L2" t="s">
        <v>124</v>
      </c>
      <c r="M2" t="s">
        <v>53</v>
      </c>
      <c r="N2" t="s">
        <v>125</v>
      </c>
      <c r="S2" t="s">
        <v>42</v>
      </c>
      <c r="V2" t="s">
        <v>164</v>
      </c>
    </row>
    <row r="3" spans="1:22" x14ac:dyDescent="0.45">
      <c r="A3">
        <f t="shared" si="0"/>
        <v>2</v>
      </c>
      <c r="B3" t="s">
        <v>49</v>
      </c>
      <c r="C3" t="s">
        <v>11</v>
      </c>
      <c r="D3" t="s">
        <v>21</v>
      </c>
      <c r="E3">
        <v>3</v>
      </c>
      <c r="F3">
        <v>10</v>
      </c>
      <c r="G3">
        <v>0</v>
      </c>
      <c r="H3">
        <v>0</v>
      </c>
      <c r="I3">
        <v>10</v>
      </c>
      <c r="J3" t="s">
        <v>50</v>
      </c>
      <c r="K3">
        <v>0</v>
      </c>
      <c r="L3" t="s">
        <v>123</v>
      </c>
      <c r="M3" t="s">
        <v>51</v>
      </c>
      <c r="N3" t="s">
        <v>125</v>
      </c>
      <c r="O3" t="s">
        <v>78</v>
      </c>
      <c r="P3" t="s">
        <v>73</v>
      </c>
      <c r="Q3">
        <v>5</v>
      </c>
      <c r="R3">
        <v>0.2</v>
      </c>
      <c r="S3" t="s">
        <v>52</v>
      </c>
      <c r="V3" t="s">
        <v>164</v>
      </c>
    </row>
    <row r="4" spans="1:22" x14ac:dyDescent="0.45">
      <c r="A4">
        <f>ROW()-1</f>
        <v>3</v>
      </c>
      <c r="B4" t="s">
        <v>117</v>
      </c>
      <c r="C4" t="s">
        <v>11</v>
      </c>
      <c r="D4" t="s">
        <v>21</v>
      </c>
      <c r="E4">
        <v>3</v>
      </c>
      <c r="F4">
        <v>10</v>
      </c>
      <c r="G4">
        <v>0</v>
      </c>
      <c r="H4">
        <v>0</v>
      </c>
      <c r="I4">
        <v>5</v>
      </c>
      <c r="J4" t="s">
        <v>50</v>
      </c>
      <c r="K4">
        <v>5</v>
      </c>
      <c r="L4" t="s">
        <v>120</v>
      </c>
      <c r="M4" t="s">
        <v>118</v>
      </c>
      <c r="N4" t="s">
        <v>125</v>
      </c>
      <c r="S4" t="s">
        <v>119</v>
      </c>
      <c r="V4" t="s">
        <v>164</v>
      </c>
    </row>
    <row r="5" spans="1:22" x14ac:dyDescent="0.45">
      <c r="A5">
        <f t="shared" si="0"/>
        <v>4</v>
      </c>
      <c r="B5" t="s">
        <v>54</v>
      </c>
      <c r="C5" t="s">
        <v>12</v>
      </c>
      <c r="D5" t="s">
        <v>21</v>
      </c>
      <c r="E5">
        <v>0</v>
      </c>
      <c r="F5">
        <v>3</v>
      </c>
      <c r="G5">
        <v>0</v>
      </c>
      <c r="H5">
        <v>0.3</v>
      </c>
      <c r="I5">
        <v>0</v>
      </c>
      <c r="J5" t="s">
        <v>50</v>
      </c>
      <c r="K5">
        <v>0</v>
      </c>
      <c r="L5" t="s">
        <v>121</v>
      </c>
      <c r="M5" t="s">
        <v>55</v>
      </c>
      <c r="N5" t="s">
        <v>210</v>
      </c>
      <c r="S5" t="s">
        <v>56</v>
      </c>
      <c r="V5" t="s">
        <v>165</v>
      </c>
    </row>
    <row r="6" spans="1:22" x14ac:dyDescent="0.45">
      <c r="A6">
        <f t="shared" si="0"/>
        <v>5</v>
      </c>
      <c r="B6" t="s">
        <v>90</v>
      </c>
      <c r="C6" t="s">
        <v>12</v>
      </c>
      <c r="D6" t="s">
        <v>21</v>
      </c>
      <c r="E6">
        <v>3</v>
      </c>
      <c r="F6">
        <v>10</v>
      </c>
      <c r="G6">
        <v>0</v>
      </c>
      <c r="H6">
        <v>0.5</v>
      </c>
      <c r="I6">
        <v>0</v>
      </c>
      <c r="J6" t="s">
        <v>50</v>
      </c>
      <c r="K6">
        <v>0</v>
      </c>
      <c r="L6" t="s">
        <v>102</v>
      </c>
      <c r="M6" t="s">
        <v>91</v>
      </c>
      <c r="N6" t="s">
        <v>126</v>
      </c>
      <c r="O6" t="s">
        <v>92</v>
      </c>
      <c r="P6" t="s">
        <v>73</v>
      </c>
      <c r="Q6">
        <v>3</v>
      </c>
      <c r="R6">
        <v>0</v>
      </c>
      <c r="S6" t="s">
        <v>93</v>
      </c>
      <c r="V6" t="s">
        <v>165</v>
      </c>
    </row>
    <row r="7" spans="1:22" x14ac:dyDescent="0.45">
      <c r="A7">
        <f t="shared" si="0"/>
        <v>6</v>
      </c>
      <c r="B7" t="s">
        <v>179</v>
      </c>
      <c r="C7" t="s">
        <v>12</v>
      </c>
      <c r="D7" t="s">
        <v>21</v>
      </c>
      <c r="E7">
        <v>5</v>
      </c>
      <c r="F7">
        <v>10</v>
      </c>
      <c r="G7">
        <v>0</v>
      </c>
      <c r="H7">
        <v>0.8</v>
      </c>
      <c r="I7">
        <v>0</v>
      </c>
      <c r="J7" t="s">
        <v>50</v>
      </c>
      <c r="K7">
        <v>0</v>
      </c>
      <c r="L7" t="s">
        <v>103</v>
      </c>
      <c r="M7" t="s">
        <v>94</v>
      </c>
      <c r="N7" t="s">
        <v>127</v>
      </c>
      <c r="O7" t="s">
        <v>77</v>
      </c>
      <c r="P7" t="s">
        <v>73</v>
      </c>
      <c r="Q7">
        <v>10</v>
      </c>
      <c r="R7">
        <v>0.1</v>
      </c>
      <c r="S7" t="s">
        <v>177</v>
      </c>
      <c r="V7" t="s">
        <v>165</v>
      </c>
    </row>
    <row r="8" spans="1:22" x14ac:dyDescent="0.45">
      <c r="A8">
        <f t="shared" si="0"/>
        <v>7</v>
      </c>
      <c r="B8" t="s">
        <v>95</v>
      </c>
      <c r="C8" t="s">
        <v>12</v>
      </c>
      <c r="D8" t="s">
        <v>21</v>
      </c>
      <c r="E8">
        <v>0</v>
      </c>
      <c r="F8">
        <v>30</v>
      </c>
      <c r="G8">
        <v>0</v>
      </c>
      <c r="H8">
        <v>0.8</v>
      </c>
      <c r="I8">
        <v>0</v>
      </c>
      <c r="J8" t="s">
        <v>50</v>
      </c>
      <c r="K8">
        <v>0</v>
      </c>
      <c r="L8" t="s">
        <v>122</v>
      </c>
      <c r="M8" t="s">
        <v>96</v>
      </c>
      <c r="N8" t="s">
        <v>128</v>
      </c>
      <c r="O8" t="s">
        <v>60</v>
      </c>
      <c r="P8" t="s">
        <v>73</v>
      </c>
      <c r="Q8">
        <v>10</v>
      </c>
      <c r="R8">
        <v>2</v>
      </c>
      <c r="S8" t="s">
        <v>97</v>
      </c>
      <c r="V8" t="s">
        <v>165</v>
      </c>
    </row>
    <row r="9" spans="1:22" x14ac:dyDescent="0.45">
      <c r="A9">
        <f t="shared" si="0"/>
        <v>8</v>
      </c>
      <c r="B9" t="s">
        <v>98</v>
      </c>
      <c r="C9" t="s">
        <v>15</v>
      </c>
      <c r="D9" t="s">
        <v>23</v>
      </c>
      <c r="E9">
        <v>0</v>
      </c>
      <c r="F9">
        <v>25</v>
      </c>
      <c r="G9">
        <v>0</v>
      </c>
      <c r="H9">
        <v>0</v>
      </c>
      <c r="I9">
        <v>0</v>
      </c>
      <c r="J9" t="s">
        <v>50</v>
      </c>
      <c r="K9">
        <v>0</v>
      </c>
      <c r="L9" t="s">
        <v>104</v>
      </c>
      <c r="M9" t="s">
        <v>99</v>
      </c>
      <c r="N9" t="s">
        <v>201</v>
      </c>
      <c r="O9" t="s">
        <v>76</v>
      </c>
      <c r="P9" t="s">
        <v>100</v>
      </c>
      <c r="Q9">
        <v>10</v>
      </c>
      <c r="R9">
        <v>1.2</v>
      </c>
      <c r="S9" t="s">
        <v>101</v>
      </c>
      <c r="V9" t="s">
        <v>162</v>
      </c>
    </row>
    <row r="10" spans="1:22" x14ac:dyDescent="0.45">
      <c r="A10">
        <f t="shared" ref="A10:A16" si="1">ROW()-1</f>
        <v>9</v>
      </c>
      <c r="B10" t="s">
        <v>105</v>
      </c>
      <c r="C10" t="s">
        <v>15</v>
      </c>
      <c r="D10" t="s">
        <v>23</v>
      </c>
      <c r="E10">
        <v>0</v>
      </c>
      <c r="F10">
        <v>25</v>
      </c>
      <c r="G10">
        <v>0</v>
      </c>
      <c r="H10">
        <v>0</v>
      </c>
      <c r="I10">
        <v>0</v>
      </c>
      <c r="J10" t="s">
        <v>50</v>
      </c>
      <c r="K10">
        <v>0</v>
      </c>
      <c r="L10" t="s">
        <v>106</v>
      </c>
      <c r="M10" t="s">
        <v>116</v>
      </c>
      <c r="N10" t="s">
        <v>201</v>
      </c>
      <c r="O10" t="s">
        <v>77</v>
      </c>
      <c r="P10" t="s">
        <v>100</v>
      </c>
      <c r="Q10">
        <v>10</v>
      </c>
      <c r="R10">
        <v>1.5</v>
      </c>
      <c r="S10" t="s">
        <v>107</v>
      </c>
      <c r="V10" t="s">
        <v>162</v>
      </c>
    </row>
    <row r="11" spans="1:22" x14ac:dyDescent="0.45">
      <c r="A11">
        <f t="shared" si="1"/>
        <v>10</v>
      </c>
      <c r="B11" t="s">
        <v>108</v>
      </c>
      <c r="C11" t="s">
        <v>15</v>
      </c>
      <c r="D11" t="s">
        <v>23</v>
      </c>
      <c r="E11">
        <v>0</v>
      </c>
      <c r="F11">
        <v>25</v>
      </c>
      <c r="G11">
        <v>0</v>
      </c>
      <c r="H11">
        <v>0</v>
      </c>
      <c r="I11">
        <v>0</v>
      </c>
      <c r="J11" t="s">
        <v>50</v>
      </c>
      <c r="K11">
        <v>0</v>
      </c>
      <c r="L11" t="s">
        <v>110</v>
      </c>
      <c r="M11" t="s">
        <v>111</v>
      </c>
      <c r="N11" t="s">
        <v>201</v>
      </c>
      <c r="O11" t="s">
        <v>78</v>
      </c>
      <c r="P11" t="s">
        <v>100</v>
      </c>
      <c r="Q11">
        <v>10</v>
      </c>
      <c r="R11">
        <v>1.5</v>
      </c>
      <c r="S11" t="s">
        <v>109</v>
      </c>
      <c r="V11" t="s">
        <v>162</v>
      </c>
    </row>
    <row r="12" spans="1:22" x14ac:dyDescent="0.45">
      <c r="A12">
        <f t="shared" si="1"/>
        <v>11</v>
      </c>
      <c r="B12" t="s">
        <v>112</v>
      </c>
      <c r="C12" t="s">
        <v>15</v>
      </c>
      <c r="D12" t="s">
        <v>22</v>
      </c>
      <c r="E12">
        <v>10</v>
      </c>
      <c r="F12">
        <v>30</v>
      </c>
      <c r="G12">
        <v>0</v>
      </c>
      <c r="H12">
        <v>0</v>
      </c>
      <c r="I12">
        <v>0</v>
      </c>
      <c r="J12" t="s">
        <v>50</v>
      </c>
      <c r="K12">
        <v>0</v>
      </c>
      <c r="L12" t="s">
        <v>113</v>
      </c>
      <c r="M12" t="s">
        <v>114</v>
      </c>
      <c r="N12" t="s">
        <v>193</v>
      </c>
      <c r="S12" t="s">
        <v>115</v>
      </c>
      <c r="V12" t="s">
        <v>162</v>
      </c>
    </row>
    <row r="13" spans="1:22" x14ac:dyDescent="0.45">
      <c r="A13">
        <f t="shared" si="1"/>
        <v>12</v>
      </c>
      <c r="B13" t="s">
        <v>175</v>
      </c>
      <c r="C13" t="s">
        <v>12</v>
      </c>
      <c r="D13" t="s">
        <v>21</v>
      </c>
      <c r="E13">
        <v>10</v>
      </c>
      <c r="F13">
        <v>10</v>
      </c>
      <c r="G13">
        <v>0</v>
      </c>
      <c r="H13">
        <v>0.8</v>
      </c>
      <c r="I13">
        <v>0</v>
      </c>
      <c r="J13" t="s">
        <v>50</v>
      </c>
      <c r="K13">
        <v>0</v>
      </c>
      <c r="L13" t="s">
        <v>134</v>
      </c>
      <c r="M13" t="s">
        <v>134</v>
      </c>
      <c r="N13" t="s">
        <v>134</v>
      </c>
      <c r="S13" t="s">
        <v>135</v>
      </c>
      <c r="V13" t="s">
        <v>165</v>
      </c>
    </row>
    <row r="14" spans="1:22" x14ac:dyDescent="0.45">
      <c r="A14">
        <f t="shared" si="1"/>
        <v>13</v>
      </c>
      <c r="B14" t="s">
        <v>137</v>
      </c>
      <c r="C14" t="s">
        <v>11</v>
      </c>
      <c r="D14" t="s">
        <v>21</v>
      </c>
      <c r="E14">
        <v>1</v>
      </c>
      <c r="F14">
        <v>10</v>
      </c>
      <c r="G14">
        <v>0</v>
      </c>
      <c r="H14">
        <v>0</v>
      </c>
      <c r="I14">
        <v>20</v>
      </c>
      <c r="J14" t="s">
        <v>50</v>
      </c>
      <c r="K14">
        <v>0</v>
      </c>
      <c r="L14" t="s">
        <v>149</v>
      </c>
      <c r="M14" t="s">
        <v>149</v>
      </c>
      <c r="N14" t="s">
        <v>206</v>
      </c>
      <c r="S14" t="s">
        <v>138</v>
      </c>
      <c r="T14">
        <v>10</v>
      </c>
      <c r="U14">
        <v>60</v>
      </c>
      <c r="V14" t="s">
        <v>164</v>
      </c>
    </row>
    <row r="15" spans="1:22" x14ac:dyDescent="0.45">
      <c r="A15">
        <f t="shared" si="1"/>
        <v>14</v>
      </c>
      <c r="B15" t="s">
        <v>140</v>
      </c>
      <c r="C15" t="s">
        <v>11</v>
      </c>
      <c r="D15" t="s">
        <v>21</v>
      </c>
      <c r="E15">
        <v>8</v>
      </c>
      <c r="F15">
        <v>15</v>
      </c>
      <c r="G15">
        <v>0</v>
      </c>
      <c r="H15">
        <v>0.3</v>
      </c>
      <c r="I15">
        <v>30</v>
      </c>
      <c r="J15" t="s">
        <v>50</v>
      </c>
      <c r="K15">
        <v>0</v>
      </c>
      <c r="L15" t="s">
        <v>141</v>
      </c>
      <c r="M15" t="s">
        <v>141</v>
      </c>
      <c r="N15" t="s">
        <v>207</v>
      </c>
      <c r="S15" t="s">
        <v>142</v>
      </c>
      <c r="V15" t="s">
        <v>164</v>
      </c>
    </row>
    <row r="16" spans="1:22" x14ac:dyDescent="0.45">
      <c r="A16">
        <f t="shared" si="1"/>
        <v>15</v>
      </c>
      <c r="B16" t="s">
        <v>144</v>
      </c>
      <c r="C16" t="s">
        <v>11</v>
      </c>
      <c r="D16" t="s">
        <v>21</v>
      </c>
      <c r="E16">
        <v>3</v>
      </c>
      <c r="F16">
        <v>10</v>
      </c>
      <c r="G16">
        <v>0</v>
      </c>
      <c r="H16">
        <v>0.2</v>
      </c>
      <c r="I16">
        <v>15</v>
      </c>
      <c r="J16" t="s">
        <v>50</v>
      </c>
      <c r="K16">
        <v>2</v>
      </c>
      <c r="L16" t="s">
        <v>145</v>
      </c>
      <c r="M16" t="s">
        <v>145</v>
      </c>
      <c r="N16" t="s">
        <v>208</v>
      </c>
      <c r="S16" t="s">
        <v>146</v>
      </c>
      <c r="T16">
        <v>3</v>
      </c>
      <c r="U16">
        <v>15</v>
      </c>
      <c r="V16" t="s">
        <v>164</v>
      </c>
    </row>
    <row r="17" spans="1:22" x14ac:dyDescent="0.45">
      <c r="A17">
        <f>ROW()-1</f>
        <v>16</v>
      </c>
      <c r="B17" t="s">
        <v>176</v>
      </c>
      <c r="C17" t="s">
        <v>11</v>
      </c>
      <c r="D17" t="s">
        <v>21</v>
      </c>
      <c r="E17">
        <v>5</v>
      </c>
      <c r="F17">
        <v>10</v>
      </c>
      <c r="G17">
        <v>8</v>
      </c>
      <c r="H17">
        <v>0.5</v>
      </c>
      <c r="I17">
        <v>13</v>
      </c>
      <c r="J17" t="s">
        <v>50</v>
      </c>
      <c r="K17">
        <v>0</v>
      </c>
      <c r="L17" t="s">
        <v>183</v>
      </c>
      <c r="M17" t="s">
        <v>183</v>
      </c>
      <c r="N17" t="s">
        <v>209</v>
      </c>
      <c r="S17" t="s">
        <v>181</v>
      </c>
      <c r="V17" t="s">
        <v>169</v>
      </c>
    </row>
    <row r="18" spans="1:22" x14ac:dyDescent="0.45">
      <c r="A18">
        <f>ROW()-1</f>
        <v>17</v>
      </c>
      <c r="B18" t="s">
        <v>180</v>
      </c>
      <c r="C18" t="s">
        <v>12</v>
      </c>
      <c r="D18" t="s">
        <v>21</v>
      </c>
      <c r="E18">
        <v>5</v>
      </c>
      <c r="F18">
        <v>10</v>
      </c>
      <c r="G18">
        <v>8</v>
      </c>
      <c r="H18">
        <v>0.3</v>
      </c>
      <c r="I18">
        <v>10</v>
      </c>
      <c r="J18" t="s">
        <v>50</v>
      </c>
      <c r="K18">
        <v>0</v>
      </c>
      <c r="L18" t="s">
        <v>184</v>
      </c>
      <c r="M18" t="s">
        <v>184</v>
      </c>
      <c r="N18" t="s">
        <v>203</v>
      </c>
      <c r="S18" t="s">
        <v>178</v>
      </c>
      <c r="V18" t="s">
        <v>182</v>
      </c>
    </row>
    <row r="19" spans="1:22" x14ac:dyDescent="0.45">
      <c r="A19">
        <f>ROW()-1</f>
        <v>18</v>
      </c>
      <c r="B19" t="s">
        <v>185</v>
      </c>
      <c r="C19" t="s">
        <v>12</v>
      </c>
      <c r="D19" t="s">
        <v>21</v>
      </c>
      <c r="E19">
        <v>5</v>
      </c>
      <c r="F19">
        <v>10</v>
      </c>
      <c r="G19">
        <v>0</v>
      </c>
      <c r="H19">
        <v>0.3</v>
      </c>
      <c r="I19">
        <v>0</v>
      </c>
      <c r="J19" t="s">
        <v>50</v>
      </c>
      <c r="K19">
        <v>0</v>
      </c>
      <c r="L19" t="s">
        <v>186</v>
      </c>
      <c r="M19" t="s">
        <v>186</v>
      </c>
      <c r="N19" t="s">
        <v>204</v>
      </c>
      <c r="O19" t="s">
        <v>76</v>
      </c>
      <c r="P19" t="s">
        <v>73</v>
      </c>
      <c r="Q19">
        <v>10</v>
      </c>
      <c r="R19">
        <v>0.2</v>
      </c>
      <c r="S19" t="s">
        <v>187</v>
      </c>
      <c r="V19" t="s">
        <v>165</v>
      </c>
    </row>
    <row r="20" spans="1:22" x14ac:dyDescent="0.45">
      <c r="A20">
        <f>ROW()-1</f>
        <v>19</v>
      </c>
      <c r="B20" t="s">
        <v>189</v>
      </c>
      <c r="C20" t="s">
        <v>12</v>
      </c>
      <c r="D20" t="s">
        <v>21</v>
      </c>
      <c r="E20">
        <v>0.5</v>
      </c>
      <c r="F20">
        <v>20</v>
      </c>
      <c r="G20">
        <v>8</v>
      </c>
      <c r="H20">
        <v>0.6</v>
      </c>
      <c r="I20">
        <v>0</v>
      </c>
      <c r="J20" t="s">
        <v>50</v>
      </c>
      <c r="K20">
        <v>0</v>
      </c>
      <c r="L20" t="s">
        <v>190</v>
      </c>
      <c r="M20" t="s">
        <v>190</v>
      </c>
      <c r="N20" t="s">
        <v>205</v>
      </c>
      <c r="S20" t="s">
        <v>191</v>
      </c>
      <c r="V20" t="s">
        <v>188</v>
      </c>
    </row>
  </sheetData>
  <phoneticPr fontId="1"/>
  <dataValidations count="3">
    <dataValidation type="decimal" allowBlank="1" showInputMessage="1" showErrorMessage="1" sqref="E2:I20" xr:uid="{1DD7AC07-48F3-4158-AFAE-9A67E1197F38}">
      <formula1>0</formula1>
      <formula2>600</formula2>
    </dataValidation>
    <dataValidation type="whole" allowBlank="1" showInputMessage="1" showErrorMessage="1" sqref="K2:K20" xr:uid="{B03B00ED-E69F-42B4-93A8-7FECF302F58A}">
      <formula1>0</formula1>
      <formula2>600</formula2>
    </dataValidation>
    <dataValidation type="textLength" allowBlank="1" showInputMessage="1" showErrorMessage="1" sqref="L2:L12" xr:uid="{34E55A62-1B33-4697-AF1B-E16E0B8C9C3E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スキル追加">
                <anchor moveWithCells="1">
                  <from>
                    <xdr:col>17</xdr:col>
                    <xdr:colOff>1066800</xdr:colOff>
                    <xdr:row>24</xdr:row>
                    <xdr:rowOff>7620</xdr:rowOff>
                  </from>
                  <to>
                    <xdr:col>19</xdr:col>
                    <xdr:colOff>7620</xdr:colOff>
                    <xdr:row>26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A0A6037-F450-4342-8C2E-1B714890B523}">
          <x14:formula1>
            <xm:f>検索用シート!$A$2:$A$6</xm:f>
          </x14:formula1>
          <xm:sqref>C2:C20</xm:sqref>
        </x14:dataValidation>
        <x14:dataValidation type="list" allowBlank="1" showInputMessage="1" showErrorMessage="1" xr:uid="{66EC5433-5C9D-4653-9B06-CE529E5E09FE}">
          <x14:formula1>
            <xm:f>検索用シート!$D$2:$D$4</xm:f>
          </x14:formula1>
          <xm:sqref>D2:D20</xm:sqref>
        </x14:dataValidation>
        <x14:dataValidation type="list" allowBlank="1" showInputMessage="1" showErrorMessage="1" xr:uid="{B215F6BF-CF0B-49DA-91AA-46988A890F51}">
          <x14:formula1>
            <xm:f>検索用シート!$G$2:$G$3</xm:f>
          </x14:formula1>
          <xm:sqref>J2:J20</xm:sqref>
        </x14:dataValidation>
        <x14:dataValidation type="list" allowBlank="1" showInputMessage="1" showErrorMessage="1" xr:uid="{7E50E705-91C5-4C34-AEC5-1076A010AD30}">
          <x14:formula1>
            <xm:f>検索用シート!$G$6:$G$7</xm:f>
          </x14:formula1>
          <xm:sqref>P2:P20</xm:sqref>
        </x14:dataValidation>
        <x14:dataValidation type="list" allowBlank="1" showInputMessage="1" showErrorMessage="1" xr:uid="{9934550A-14BA-4985-B1DB-BF7B8E65B78F}">
          <x14:formula1>
            <xm:f>検索用シート!$L$2:$L$14</xm:f>
          </x14:formula1>
          <xm:sqref>O2:O20</xm:sqref>
        </x14:dataValidation>
        <x14:dataValidation type="list" allowBlank="1" showInputMessage="1" showErrorMessage="1" xr:uid="{404A9E6F-0117-4C65-AE48-C26404715405}">
          <x14:formula1>
            <xm:f>検索用シート!$A$9:$A$20</xm:f>
          </x14:formula1>
          <xm:sqref>V2:V20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17EB3A-664C-4926-8578-E6E0643BA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SkillData</vt:lpstr>
      <vt:lpstr>検索用シート</vt:lpstr>
      <vt:lpstr>InputFile(Skill)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2026-07-17T01:45:44Z</dcterms:created>
  <dcterms:modified xsi:type="dcterms:W3CDTF">2026-09-29T04:49:53Z</dcterms:modified>
</cp:coreProperties>
</file>