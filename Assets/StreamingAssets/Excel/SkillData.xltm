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A78CE1EF-6B74-4BF6-A6F8-206B69341F0F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A20" i="1"/>
  <c r="A19" i="1" l="1"/>
  <c r="A18" i="1" l="1"/>
  <c r="A17" i="1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<sst xmlns="http://schemas.openxmlformats.org/spreadsheetml/2006/main" count="343" uniqueCount="192">
  <si>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</si>
  <si>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</si>
  <si>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</si>
  <si>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</si>
  <si>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</si>
  <si>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</si>
  <si>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</si>
  <si>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</si>
  <si>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</si>
  <si>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</si>
  <si>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</si>
  <si>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</si>
  <si>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</si>
  <si>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</si>
  <si>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</si>
  <si>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</si>
  <si>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</si>
  <si>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</si>
  <si>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</si>
  <si>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</si>
  <si>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</si>
  <si>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</si>
  <si>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</si>
  <si>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</si>
  <si>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</si>
  <si>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</si>
  <si>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</si>
  <si>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</si>
  <si>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</si>
  <si>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</si>
  <si>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</si>
  <si>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</si>
  <si>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</si>
  <si>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</si>
  <si>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</si>
  <si>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</si>
  <si>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</si>
  <si>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</si>
  <si>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</si>
  <si>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</si>
  <si>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</si>
  <si>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</si>
  <si>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</si>
  <si>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</si>
  <si>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</si>
  <si>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</si>
  <si>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</si>
  <si>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</si>
  <si>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</si>
  <si>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</si>
  <si>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</si>
  <si>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</si>
  <si>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</si>
  <si>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</si>
  <si>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</si>
  <si>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</si>
  <si>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</si>
  <si>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</si>
  <si>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</si>
  <si>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</si>
  <si>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</si>
  <si>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</si>
  <si>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</si>
  <si>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</si>
  <si>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</si>
  <si>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</si>
  <si>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</si>
  <si>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</si>
  <si>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</si>
  <si>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</si>
  <si>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</si>
  <si>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</si>
  <si>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</si>
  <si>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</si>
  <si>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</si>
  <si>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</si>
  <si>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</si>
  <si>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</si>
  <si>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</si>
  <si>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</si>
  <si>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</si>
  <si>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</si>
  <si>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</si>
  <si>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</si>
  <si>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</si>
  <si>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</si>
  <si>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</si>
  <si>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</si>
  <si>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</si>
  <si>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</si>
  <si>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</si>
  <si>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</si>
  <si>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</si>
  <si>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</si>
  <si>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DarkBall</t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</si>
  <si>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</si>
  <si>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</si>
  <si>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</si>
  <si>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</si>
  <si>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</si>
  <si>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</si>
  <si>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</si>
  <si>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</si>
  <si>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</si>
  <si>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</si>
  <si>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</si>
  <si>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</si>
  <si>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</si>
  <si>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</si>
  <si>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</si>
  <si>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</si>
  <si>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</si>
  <si>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</si>
  <si>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</si>
  <si>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</si>
  <si>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</si>
  <si>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</si>
  <si>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</si>
  <si>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</si>
  <si>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</si>
  <si>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</si>
  <si>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</si>
  <si>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</si>
  <si>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</si>
  <si>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</si>
  <si>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</si>
  <si>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</si>
  <si>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</si>
  <si>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</si>
  <si>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</si>
  <si>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</si>
  <si>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</si>
  <si>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</si>
  <si>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</si>
  <si>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</si>
  <si>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</si>
  <si>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</si>
  <si>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</si>
  <si>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</si>
  <si>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</si>
  <si>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</si>
  <si>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</si>
  <si>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</si>
  <si>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</si>
  <si>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</si>
  <si>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</si>
  <si>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</si>
  <si>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</si>
  <si>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</si>
  <si>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Shotgun</t>
    <phoneticPr fontId="1"/>
  </si>
  <si>
    <t>挙動</t>
    <rPh sb="0" eb="2">
      <t>キョドウ</t>
    </rPh>
    <phoneticPr fontId="1"/>
  </si>
  <si>
    <t>None</t>
    <phoneticPr fontId="1"/>
  </si>
  <si>
    <t>Straight</t>
    <phoneticPr fontId="1"/>
  </si>
  <si>
    <t>Area</t>
    <phoneticPr fontId="1"/>
  </si>
  <si>
    <t>Stationary</t>
    <phoneticPr fontId="1"/>
  </si>
  <si>
    <t>Mine</t>
    <phoneticPr fontId="1"/>
  </si>
  <si>
    <t>Homing</t>
    <phoneticPr fontId="1"/>
  </si>
  <si>
    <t>Boomerang</t>
    <phoneticPr fontId="1"/>
  </si>
  <si>
    <t>Chain</t>
    <phoneticPr fontId="1"/>
  </si>
  <si>
    <t>Split</t>
    <phoneticPr fontId="1"/>
  </si>
  <si>
    <t>Orbit</t>
    <phoneticPr fontId="1"/>
  </si>
  <si>
    <t>Knockback</t>
    <phoneticPr fontId="1"/>
  </si>
  <si>
    <t>デフォルト</t>
  </si>
  <si>
    <t>デフォルト</t>
    <phoneticPr fontId="1"/>
  </si>
  <si>
    <t>直線</t>
    <rPh sb="0" eb="2">
      <t>チョクセン</t>
    </rPh>
    <phoneticPr fontId="1"/>
  </si>
  <si>
    <t>通常</t>
    <rPh sb="0" eb="2">
      <t>ツウジョウ</t>
    </rPh>
    <phoneticPr fontId="1"/>
  </si>
  <si>
    <t>設置型</t>
    <rPh sb="0" eb="3">
      <t>セッチガタ</t>
    </rPh>
    <phoneticPr fontId="1"/>
  </si>
  <si>
    <t>地雷型</t>
    <rPh sb="0" eb="3">
      <t>ジライガタ</t>
    </rPh>
    <phoneticPr fontId="1"/>
  </si>
  <si>
    <t>ホーミング</t>
    <phoneticPr fontId="1"/>
  </si>
  <si>
    <t>戻ってくる</t>
    <rPh sb="0" eb="1">
      <t>モド</t>
    </rPh>
    <phoneticPr fontId="1"/>
  </si>
  <si>
    <t>連鎖型</t>
    <rPh sb="0" eb="3">
      <t>レンサガタ</t>
    </rPh>
    <phoneticPr fontId="1"/>
  </si>
  <si>
    <t>分裂型</t>
    <rPh sb="0" eb="3">
      <t>ブンレツガタ</t>
    </rPh>
    <phoneticPr fontId="1"/>
  </si>
  <si>
    <t>公転型</t>
    <rPh sb="0" eb="3">
      <t>コウテンガタ</t>
    </rPh>
    <phoneticPr fontId="1"/>
  </si>
  <si>
    <t>ノックバック</t>
    <phoneticPr fontId="1"/>
  </si>
  <si>
    <t>TargetPosition</t>
    <phoneticPr fontId="1"/>
  </si>
  <si>
    <t>雷魔法</t>
    <rPh sb="0" eb="1">
      <t>カミナリ</t>
    </rPh>
    <rPh sb="1" eb="3">
      <t>マホウ</t>
    </rPh>
    <phoneticPr fontId="1"/>
  </si>
  <si>
    <t>草魔法</t>
    <rPh sb="0" eb="3">
      <t>クサマホウ</t>
    </rPh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</si>
  <si>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</si>
  <si>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敵を追尾する魔法</t>
    <rPh sb="0" eb="1">
      <t>テキ</t>
    </rPh>
    <rPh sb="2" eb="4">
      <t>ツイビ</t>
    </rPh>
    <rPh sb="6" eb="8">
      <t>マホウ</t>
    </rPh>
    <phoneticPr fontId="1"/>
  </si>
  <si>
    <t>影魔法</t>
    <rPh sb="0" eb="1">
      <t>カゲ</t>
    </rPh>
    <rPh sb="1" eb="3">
      <t>マホウ</t>
    </rPh>
    <phoneticPr fontId="1"/>
  </si>
  <si>
    <t>闇魔法</t>
    <rPh sb="0" eb="1">
      <t>ヤミ</t>
    </rPh>
    <rPh sb="1" eb="3">
      <t>マホウ</t>
    </rPh>
    <phoneticPr fontId="1"/>
  </si>
  <si>
    <t>自分に帰ってくる魔法を出す</t>
    <rPh sb="0" eb="2">
      <t>ジブン</t>
    </rPh>
    <rPh sb="3" eb="4">
      <t>カエ</t>
    </rPh>
    <rPh sb="8" eb="10">
      <t>マホウ</t>
    </rPh>
    <rPh sb="11" eb="12">
      <t>ダ</t>
    </rPh>
    <phoneticPr fontId="1"/>
  </si>
  <si>
    <t>ホーミング</t>
  </si>
  <si>
    <t>Grass</t>
    <phoneticPr fontId="1"/>
  </si>
  <si>
    <t>Shadow</t>
    <phoneticPr fontId="1"/>
  </si>
  <si>
    <t>水魔法</t>
    <rPh sb="0" eb="3">
      <t>ミズマホウ</t>
    </rPh>
    <phoneticPr fontId="1"/>
  </si>
  <si>
    <t>Water</t>
    <phoneticPr fontId="1"/>
  </si>
  <si>
    <t>攻撃を下げる魔法</t>
    <rPh sb="0" eb="2">
      <t>コウゲキ</t>
    </rPh>
    <rPh sb="3" eb="4">
      <t>サ</t>
    </rPh>
    <rPh sb="6" eb="8">
      <t>マホウ</t>
    </rPh>
    <phoneticPr fontId="1"/>
  </si>
  <si>
    <t>持続攻撃</t>
    <rPh sb="0" eb="2">
      <t>ジゾク</t>
    </rPh>
    <rPh sb="2" eb="4">
      <t>コウゲキ</t>
    </rPh>
    <phoneticPr fontId="1"/>
  </si>
  <si>
    <t>火魔法</t>
    <rPh sb="0" eb="1">
      <t>ヒ</t>
    </rPh>
    <rPh sb="1" eb="3">
      <t>マホウ</t>
    </rPh>
    <phoneticPr fontId="1"/>
  </si>
  <si>
    <t>Fire</t>
    <phoneticPr fontId="1"/>
  </si>
  <si>
    <t>地面に出す範囲魔法</t>
    <rPh sb="0" eb="2">
      <t>ジメン</t>
    </rPh>
    <rPh sb="3" eb="4">
      <t>ダ</t>
    </rPh>
    <rPh sb="5" eb="7">
      <t>ハンイ</t>
    </rPh>
    <rPh sb="7" eb="9">
      <t>マホウ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</si>
</sst>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24</xdr:row>
          <xdr:rowOff>7620</xdr:rowOff>
        </xdr:from>
        <xdr:to>
          <xdr:col>19</xdr:col>
          <xdr:colOff>7620</xdr:colOff>
          <xdr:row>26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A247B29-3135-4B60-A7A9-4D895A453CFA}" name="OutputTable" displayName="OutputTable" ref="A1:V20" totalsRowShown="0">
  <autoFilter ref="A1:V20" xr:uid="{979A5AEE-ABC0-403A-A50B-3B685097D27E}"/>
  <tableColumns count="22">
    <tableColumn id="1" xr3:uid="{D3A09D23-3751-4738-B459-02FB9F27CC52}" name="No"/>
    <tableColumn id="2" xr3:uid="{276B55F8-13A3-4158-B3CB-AA867790E89A}" name="名前"/>
    <tableColumn id="3" xr3:uid="{16651E70-8EB4-436D-93BC-1DAF4DF75721}" name="ターゲット方法">
      <calculatedColumnFormula>VLOOKUP('InputFile(Skill)'!C2, 検索用シート!$A$2:$B$6, 2, FALSE)</calculatedColumnFormula>
    </tableColumn>
    <tableColumn id="4" xr3:uid="{9B7FC4D5-E84C-4025-B38D-38B330E18E54}" name="攻撃方法">
      <calculatedColumnFormula>VLOOKUP('InputFile(Skill)'!D2, 検索用シート!$D$2:$E$5, 2, FALSE)</calculatedColumnFormula>
    </tableColumn>
    <tableColumn id="5" xr3:uid="{AF6714F6-5D51-4166-994B-A100776D9EDA}" name="値"/>
    <tableColumn id="6" xr3:uid="{85D1909B-CB1A-40B3-B264-9586E6F70515}" name="クールタイム"/>
    <tableColumn id="7" xr3:uid="{D83D308C-5602-48BA-8C4A-842660A80181}" name="持続時間"/>
    <tableColumn id="8" xr3:uid="{250E6FB1-04D7-41D5-A1E8-82DD229412B2}" name="予備動作時間"/>
    <tableColumn id="9" xr3:uid="{2331B0F5-9B19-4153-A7C8-962B852D9FC1}" name="移動速度"/>
    <tableColumn id="10" xr3:uid="{0A236305-A5C1-4B6E-BF75-F75EC2B8A7DF}" name="貫通">
      <calculatedColumnFormula>VLOOKUP('InputFile(Skill)'!J2, 検索用シート!$G$2:$H$3, 2, FALSE)</calculatedColumnFormula>
    </tableColumn>
    <tableColumn id="11" xr3:uid="{387FFE78-A823-43AD-B37D-601AA1860250}" name="反射回数"/>
    <tableColumn id="12" xr3:uid="{D0AB9FB8-E31F-451F-824C-A86FCC57AB97}" name="画像パス">
      <calculatedColumnFormula>検索用シート!$J$8 &amp; 'InputFile(Skill)'!L2</calculatedColumnFormula>
    </tableColumn>
    <tableColumn id="13" xr3:uid="{0375C851-3C45-45D4-9206-EF9C239F319A}" name="スキルオブジェクト">
      <calculatedColumnFormula>検索用シート!$J$2 &amp; 'InputFile(Skill)'!M2</calculatedColumnFormula>
    </tableColumn>
    <tableColumn id="14" xr3:uid="{62DAC760-0CA1-47AF-BD6E-51C6C50379A0}" name="効果音"/>
    <tableColumn id="15" xr3:uid="{F9290E4E-4F26-4363-AF52-76CE2199D852}" name="付与するエフェクト">
      <calculatedColumnFormula>IF('InputFile(Skill)'!O2="", "", IFERROR(VLOOKUP('InputFile(Skill)'!O2, 検索用シート!$L$2:$M$14, 2, FALSE), ""))</calculatedColumnFormula>
    </tableColumn>
    <tableColumn id="16" xr3:uid="{F3251F6D-5966-42A8-9906-A2836DC737F3}" name="バフか">
      <calculatedColumnFormula>IF('InputFile(Skill)'!P2="", "", IFERROR(VLOOKUP('InputFile(Skill)'!P2, 検索用シート!$G$6:$H$7, 2, FALSE), ""))</calculatedColumnFormula>
    </tableColumn>
    <tableColumn id="17" xr3:uid="{6AB05996-0B94-4F41-9036-3475F34CC8DE}" name="エフェクト持続時間"/>
    <tableColumn id="18" xr3:uid="{7AE7C08D-DEDC-438F-BE9F-2266D89F7703}" name="エフェクト数値"/>
    <tableColumn id="19" xr3:uid="{77D269D8-F77F-4770-B2FE-8807FF739F21}" name="説明"/>
    <tableColumn id="20" xr3:uid="{17F6497B-B537-465F-B63B-08F360D317C9}" name="生成個数"/>
    <tableColumn id="21" xr3:uid="{26D69607-42C1-4DF6-AA8C-B8ADE28F696C}" name="角度"/>
    <tableColumn id="22" xr3:uid="{A9FEABF3-11CA-48D1-A07A-4BF695E80008}" name="挙動">
      <calculatedColumnFormula>VLOOKUP('InputFile(Skill)'!V2, 検索用シート!$A$9:$B$20, 2,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V20" totalsRowShown="0">
  <autoFilter ref="A1:V20" xr:uid="{1F6AF440-C034-4897-9253-FD1BE22FEFC7}"/>
  <tableColumns count="22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  <tableColumn id="22" xr3:uid="{5745DB12-2E37-443F-820C-287489D6C092}" name="挙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V20"/>
  <sheetViews>
    <sheetView topLeftCell="M1" workbookViewId="0">
      <selection sqref="A1:V20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  <col min="22" max="22" width="13.3984375" bestFit="1" customWidth="1"/>
  </cols>
  <sheetData>
    <row r="1" spans="1:22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129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  <c r="V2" t="str">
        <f>VLOOKUP('InputFile(Skill)'!V2, 検索用シート!$A$9:$B$20, 2, FALSE)</f>
        <v>Straight</v>
      </c>
    </row>
    <row r="3" spans="1:22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129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  <c r="V3" t="str">
        <f>VLOOKUP('InputFile(Skill)'!V3, 検索用シート!$A$9:$B$20, 2, FALSE)</f>
        <v>Straight</v>
      </c>
    </row>
    <row r="4" spans="1:22" x14ac:dyDescent="0.45">
      <c r="A4">
        <v>3</v>
      </c>
      <c r="B4" t="s">
        <v>117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129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119</v>
      </c>
      <c r="V4" t="str">
        <f>VLOOKUP('InputFile(Skill)'!V4, 検索用シート!$A$9:$B$20, 2, FALSE)</f>
        <v>Straight</v>
      </c>
    </row>
    <row r="5" spans="1:22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  <c r="V5" t="str">
        <f>VLOOKUP('InputFile(Skill)'!V5, 検索用シート!$A$9:$B$20, 2, FALSE)</f>
        <v>TargetPosition</v>
      </c>
    </row>
    <row r="6" spans="1:22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130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  <c r="V6" t="str">
        <f>VLOOKUP('InputFile(Skill)'!V6, 検索用シート!$A$9:$B$20, 2, FALSE)</f>
        <v>TargetPosition</v>
      </c>
    </row>
    <row r="7" spans="1:22" x14ac:dyDescent="0.45">
      <c r="A7">
        <v>6</v>
      </c>
      <c r="B7" t="s">
        <v>179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131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177</v>
      </c>
      <c r="V7" t="str">
        <f>VLOOKUP('InputFile(Skill)'!V7, 検索用シート!$A$9:$B$20, 2, FALSE)</f>
        <v>TargetPosition</v>
      </c>
    </row>
    <row r="8" spans="1:22" x14ac:dyDescent="0.45">
      <c r="A8">
        <v>7</v>
      </c>
      <c r="B8" t="s">
        <v>95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132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97</v>
      </c>
      <c r="V8" t="str">
        <f>VLOOKUP('InputFile(Skill)'!V8, 検索用シート!$A$9:$B$20, 2, FALSE)</f>
        <v>TargetPosition</v>
      </c>
    </row>
    <row r="9" spans="1:22" x14ac:dyDescent="0.45">
      <c r="A9">
        <v>8</v>
      </c>
      <c r="B9" t="s">
        <v>98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101</v>
      </c>
      <c r="V9" t="str">
        <f>VLOOKUP('InputFile(Skill)'!V9, 検索用シート!$A$9:$B$20, 2, FALSE)</f>
        <v>None</v>
      </c>
    </row>
    <row r="10" spans="1:22" x14ac:dyDescent="0.45">
      <c r="A10">
        <v>9</v>
      </c>
      <c r="B10" t="s">
        <v>105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107</v>
      </c>
      <c r="V10" t="str">
        <f>VLOOKUP('InputFile(Skill)'!V10, 検索用シート!$A$9:$B$20, 2, FALSE)</f>
        <v>None</v>
      </c>
    </row>
    <row r="11" spans="1:22" x14ac:dyDescent="0.45">
      <c r="A11">
        <v>10</v>
      </c>
      <c r="B11" t="s">
        <v>108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109</v>
      </c>
      <c r="V11" t="str">
        <f>VLOOKUP('InputFile(Skill)'!V11, 検索用シート!$A$9:$B$20, 2, FALSE)</f>
        <v>None</v>
      </c>
    </row>
    <row r="12" spans="1:22" x14ac:dyDescent="0.45">
      <c r="A12">
        <v>11</v>
      </c>
      <c r="B12" t="s">
        <v>112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115</v>
      </c>
      <c r="V12" t="str">
        <f>VLOOKUP('InputFile(Skill)'!V12, 検索用シート!$A$9:$B$20, 2, FALSE)</f>
        <v>None</v>
      </c>
    </row>
    <row r="13" spans="1:22" x14ac:dyDescent="0.45">
      <c r="A13">
        <v>12</v>
      </c>
      <c r="B13" t="s">
        <v>175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133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135</v>
      </c>
      <c r="V13" t="str">
        <f>VLOOKUP('InputFile(Skill)'!V13, 検索用シート!$A$9:$B$20, 2, FALSE)</f>
        <v>TargetPosition</v>
      </c>
    </row>
    <row r="14" spans="1:22" x14ac:dyDescent="0.45">
      <c r="A14">
        <v>13</v>
      </c>
      <c r="B14" t="s">
        <v>136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0</v>
      </c>
      <c r="H14">
        <v>0</v>
      </c>
      <c r="I14">
        <v>20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138</v>
      </c>
      <c r="T14">
        <v>10</v>
      </c>
      <c r="U14">
        <v>60</v>
      </c>
      <c r="V14" t="str">
        <f>VLOOKUP('InputFile(Skill)'!V14, 検索用シート!$A$9:$B$20, 2, FALSE)</f>
        <v>Straight</v>
      </c>
    </row>
    <row r="15" spans="1:22" x14ac:dyDescent="0.45">
      <c r="A15">
        <v>14</v>
      </c>
      <c r="B15" t="s">
        <v>139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142</v>
      </c>
      <c r="V15" t="str">
        <f>VLOOKUP('InputFile(Skill)'!V15, 検索用シート!$A$9:$B$20, 2, FALSE)</f>
        <v>Straight</v>
      </c>
    </row>
    <row r="16" spans="1:22" x14ac:dyDescent="0.45">
      <c r="A16">
        <v>15</v>
      </c>
      <c r="B16" t="s">
        <v>143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146</v>
      </c>
      <c r="T16">
        <v>3</v>
      </c>
      <c r="U16">
        <v>15</v>
      </c>
      <c r="V16" t="str">
        <f>VLOOKUP('InputFile(Skill)'!V16, 検索用シート!$A$9:$B$20, 2, FALSE)</f>
        <v>Straight</v>
      </c>
    </row>
    <row r="17" spans="1:22" x14ac:dyDescent="0.45">
      <c r="A17">
        <v>16</v>
      </c>
      <c r="B17" t="s">
        <v>176</v>
      </c>
      <c r="C17" t="str">
        <f>VLOOKUP('InputFile(Skill)'!C17, 検索用シート!$A$2:$B$6, 2, FALSE)</f>
        <v>Direction</v>
      </c>
      <c r="D17" t="str">
        <f>VLOOKUP('InputFile(Skill)'!D17, 検索用シート!$D$2:$E$5, 2, FALSE)</f>
        <v>Attack</v>
      </c>
      <c r="E17">
        <v>5</v>
      </c>
      <c r="F17">
        <v>10</v>
      </c>
      <c r="G17">
        <v>8</v>
      </c>
      <c r="H17">
        <v>0.5</v>
      </c>
      <c r="I17">
        <v>13</v>
      </c>
      <c r="J17">
        <f>VLOOKUP('InputFile(Skill)'!J17, 検索用シート!$G$2:$H$3, 2, FALSE)</f>
        <v>-1</v>
      </c>
      <c r="K17">
        <v>0</v>
      </c>
      <c r="L17" t="str">
        <f>検索用シート!$J$8 &amp; 'InputFile(Skill)'!L17</f>
        <v>Sprites/Icon/Grass</v>
      </c>
      <c r="M17" t="str">
        <f>検索用シート!$J$2 &amp; 'InputFile(Skill)'!M17</f>
        <v>Effect/Skill/Grass</v>
      </c>
      <c r="O17" t="str">
        <f>IF('InputFile(Skill)'!O17="", "", IFERROR(VLOOKUP('InputFile(Skill)'!O17, 検索用シート!$L$2:$M$14, 2, FALSE), ""))</f>
        <v/>
      </c>
      <c r="P17" t="str">
        <f>IF('InputFile(Skill)'!P17="", "", IFERROR(VLOOKUP('InputFile(Skill)'!P17, 検索用シート!$G$6:$H$7, 2, FALSE), ""))</f>
        <v/>
      </c>
      <c r="S17" t="s">
        <v>181</v>
      </c>
      <c r="V17" t="str">
        <f>VLOOKUP('InputFile(Skill)'!V17, 検索用シート!$A$9:$B$20, 2, FALSE)</f>
        <v>Boomerang</v>
      </c>
    </row>
    <row r="18" spans="1:22" x14ac:dyDescent="0.45">
      <c r="A18">
        <v>17</v>
      </c>
      <c r="B18" t="s">
        <v>180</v>
      </c>
      <c r="C18" t="str">
        <f>VLOOKUP('InputFile(Skill)'!C18, 検索用シート!$A$2:$B$6, 2, FALSE)</f>
        <v>LookOn</v>
      </c>
      <c r="D18" t="str">
        <f>VLOOKUP('InputFile(Skill)'!D18, 検索用シート!$D$2:$E$5, 2, FALSE)</f>
        <v>Attack</v>
      </c>
      <c r="E18">
        <v>5</v>
      </c>
      <c r="F18">
        <v>10</v>
      </c>
      <c r="G18">
        <v>8</v>
      </c>
      <c r="H18">
        <v>0.3</v>
      </c>
      <c r="I18">
        <v>10</v>
      </c>
      <c r="J18">
        <f>VLOOKUP('InputFile(Skill)'!J18, 検索用シート!$G$2:$H$3, 2, FALSE)</f>
        <v>-1</v>
      </c>
      <c r="K18">
        <v>0</v>
      </c>
      <c r="L18" t="str">
        <f>検索用シート!$J$8 &amp; 'InputFile(Skill)'!L18</f>
        <v>Sprites/Icon/Shadow</v>
      </c>
      <c r="M18" t="str">
        <f>検索用シート!$J$2 &amp; 'InputFile(Skill)'!M18</f>
        <v>Effect/Skill/Shadow</v>
      </c>
      <c r="O18" t="str">
        <f>IF('InputFile(Skill)'!O18="", "", IFERROR(VLOOKUP('InputFile(Skill)'!O18, 検索用シート!$L$2:$M$14, 2, FALSE), ""))</f>
        <v/>
      </c>
      <c r="P18" t="str">
        <f>IF('InputFile(Skill)'!P18="", "", IFERROR(VLOOKUP('InputFile(Skill)'!P18, 検索用シート!$G$6:$H$7, 2, FALSE), ""))</f>
        <v/>
      </c>
      <c r="S18" t="s">
        <v>178</v>
      </c>
      <c r="V18" t="str">
        <f>VLOOKUP('InputFile(Skill)'!V18, 検索用シート!$A$9:$B$20, 2, FALSE)</f>
        <v>Homing</v>
      </c>
    </row>
    <row r="19" spans="1:22" x14ac:dyDescent="0.45">
      <c r="A19">
        <v>18</v>
      </c>
      <c r="B19" t="s">
        <v>185</v>
      </c>
      <c r="C19" t="str">
        <f>VLOOKUP('InputFile(Skill)'!C19, 検索用シート!$A$2:$B$6, 2, FALSE)</f>
        <v>LookOn</v>
      </c>
      <c r="D19" t="str">
        <f>VLOOKUP('InputFile(Skill)'!D19, 検索用シート!$D$2:$E$5, 2, FALSE)</f>
        <v>Attack</v>
      </c>
      <c r="E19">
        <v>5</v>
      </c>
      <c r="F19">
        <v>10</v>
      </c>
      <c r="G19">
        <v>0</v>
      </c>
      <c r="H19">
        <v>0.3</v>
      </c>
      <c r="I19">
        <v>0</v>
      </c>
      <c r="J19">
        <f>VLOOKUP('InputFile(Skill)'!J19, 検索用シート!$G$2:$H$3, 2, FALSE)</f>
        <v>-1</v>
      </c>
      <c r="K19">
        <v>0</v>
      </c>
      <c r="L19" t="str">
        <f>検索用シート!$J$8 &amp; 'InputFile(Skill)'!L19</f>
        <v>Sprites/Icon/Water</v>
      </c>
      <c r="M19" t="str">
        <f>検索用シート!$J$2 &amp; 'InputFile(Skill)'!M19</f>
        <v>Effect/Skill/Water</v>
      </c>
      <c r="O19" t="str">
        <f>IF('InputFile(Skill)'!O19="", "", IFERROR(VLOOKUP('InputFile(Skill)'!O19, 検索用シート!$L$2:$M$14, 2, FALSE), ""))</f>
        <v>ATK</v>
      </c>
      <c r="P19">
        <f>IF('InputFile(Skill)'!P19="", "", IFERROR(VLOOKUP('InputFile(Skill)'!P19, 検索用シート!$G$6:$H$7, 2, FALSE), ""))</f>
        <v>-1</v>
      </c>
      <c r="Q19">
        <v>10</v>
      </c>
      <c r="R19">
        <v>0.2</v>
      </c>
      <c r="S19" t="s">
        <v>187</v>
      </c>
      <c r="V19" t="str">
        <f>VLOOKUP('InputFile(Skill)'!V19, 検索用シート!$A$9:$B$20, 2, FALSE)</f>
        <v>TargetPosition</v>
      </c>
    </row>
    <row r="20" spans="1:22" x14ac:dyDescent="0.45">
      <c r="A20">
        <v>19</v>
      </c>
      <c r="B20" t="s">
        <v>189</v>
      </c>
      <c r="C20" t="str">
        <f>VLOOKUP('InputFile(Skill)'!C20, 検索用シート!$A$2:$B$6, 2, FALSE)</f>
        <v>LookOn</v>
      </c>
      <c r="D20" t="str">
        <f>VLOOKUP('InputFile(Skill)'!D20, 検索用シート!$D$2:$E$5, 2, FALSE)</f>
        <v>Attack</v>
      </c>
      <c r="E20">
        <v>1</v>
      </c>
      <c r="F20">
        <v>20</v>
      </c>
      <c r="G20">
        <v>10</v>
      </c>
      <c r="H20">
        <v>0.2</v>
      </c>
      <c r="I20">
        <v>0</v>
      </c>
      <c r="J20">
        <f>VLOOKUP('InputFile(Skill)'!J20, 検索用シート!$G$2:$H$3, 2, FALSE)</f>
        <v>-1</v>
      </c>
      <c r="K20">
        <v>0</v>
      </c>
      <c r="L20" t="str">
        <f>検索用シート!$J$8 &amp; 'InputFile(Skill)'!L20</f>
        <v>Sprites/Icon/Fire</v>
      </c>
      <c r="M20" t="str">
        <f>検索用シート!$J$2 &amp; 'InputFile(Skill)'!M20</f>
        <v>Effect/Skill/Fire</v>
      </c>
      <c r="O20" t="str">
        <f>IF('InputFile(Skill)'!O20="", "", IFERROR(VLOOKUP('InputFile(Skill)'!O20, 検索用シート!$L$2:$M$14, 2, FALSE), ""))</f>
        <v/>
      </c>
      <c r="P20" t="str">
        <f>IF('InputFile(Skill)'!P20="", "", IFERROR(VLOOKUP('InputFile(Skill)'!P20, 検索用シート!$G$6:$H$7, 2, FALSE), ""))</f>
        <v/>
      </c>
      <c r="S20" t="s">
        <v>191</v>
      </c>
      <c r="V20" t="str">
        <f>VLOOKUP('InputFile(Skill)'!V20, 検索用シート!$A$9:$B$20, 2, FALSE)</f>
        <v>Area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20"/>
  <sheetViews>
    <sheetView topLeftCell="A2" workbookViewId="0">
      <selection activeCell="D11" sqref="D11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A9" t="s">
        <v>163</v>
      </c>
      <c r="B9" t="s">
        <v>151</v>
      </c>
      <c r="L9" t="s">
        <v>64</v>
      </c>
      <c r="M9" t="s">
        <v>85</v>
      </c>
    </row>
    <row r="10" spans="1:13" x14ac:dyDescent="0.45">
      <c r="A10" t="s">
        <v>164</v>
      </c>
      <c r="B10" t="s">
        <v>152</v>
      </c>
      <c r="L10" t="s">
        <v>65</v>
      </c>
      <c r="M10" t="s">
        <v>86</v>
      </c>
    </row>
    <row r="11" spans="1:13" x14ac:dyDescent="0.45">
      <c r="A11" t="s">
        <v>165</v>
      </c>
      <c r="B11" t="s">
        <v>174</v>
      </c>
      <c r="L11" t="s">
        <v>66</v>
      </c>
      <c r="M11" t="s">
        <v>87</v>
      </c>
    </row>
    <row r="12" spans="1:13" x14ac:dyDescent="0.45">
      <c r="A12" t="s">
        <v>188</v>
      </c>
      <c r="B12" t="s">
        <v>153</v>
      </c>
      <c r="L12" t="s">
        <v>67</v>
      </c>
      <c r="M12" t="s">
        <v>88</v>
      </c>
    </row>
    <row r="13" spans="1:13" x14ac:dyDescent="0.45">
      <c r="A13" t="s">
        <v>166</v>
      </c>
      <c r="B13" t="s">
        <v>154</v>
      </c>
      <c r="L13" t="s">
        <v>68</v>
      </c>
      <c r="M13" t="s">
        <v>89</v>
      </c>
    </row>
    <row r="14" spans="1:13" x14ac:dyDescent="0.45">
      <c r="A14" t="s">
        <v>167</v>
      </c>
      <c r="B14" t="s">
        <v>155</v>
      </c>
    </row>
    <row r="15" spans="1:13" x14ac:dyDescent="0.45">
      <c r="A15" t="s">
        <v>168</v>
      </c>
      <c r="B15" t="s">
        <v>156</v>
      </c>
    </row>
    <row r="16" spans="1:13" x14ac:dyDescent="0.45">
      <c r="A16" t="s">
        <v>169</v>
      </c>
      <c r="B16" t="s">
        <v>157</v>
      </c>
    </row>
    <row r="17" spans="1:2" x14ac:dyDescent="0.45">
      <c r="A17" t="s">
        <v>170</v>
      </c>
      <c r="B17" t="s">
        <v>158</v>
      </c>
    </row>
    <row r="18" spans="1:2" x14ac:dyDescent="0.45">
      <c r="A18" t="s">
        <v>171</v>
      </c>
      <c r="B18" t="s">
        <v>159</v>
      </c>
    </row>
    <row r="19" spans="1:2" x14ac:dyDescent="0.45">
      <c r="A19" t="s">
        <v>172</v>
      </c>
      <c r="B19" t="s">
        <v>160</v>
      </c>
    </row>
    <row r="20" spans="1:2" x14ac:dyDescent="0.45">
      <c r="A20" t="s">
        <v>173</v>
      </c>
      <c r="B20" t="s">
        <v>161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V20"/>
  <sheetViews>
    <sheetView tabSelected="1" topLeftCell="A10" zoomScaleNormal="100" workbookViewId="0">
      <selection activeCell="S20" sqref="S20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  <col min="22" max="22" width="10.296875" bestFit="1" customWidth="1"/>
  </cols>
  <sheetData>
    <row r="1" spans="1:2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124</v>
      </c>
      <c r="M2" t="s">
        <v>53</v>
      </c>
      <c r="N2" t="s">
        <v>125</v>
      </c>
      <c r="S2" t="s">
        <v>42</v>
      </c>
      <c r="V2" t="s">
        <v>164</v>
      </c>
    </row>
    <row r="3" spans="1:22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123</v>
      </c>
      <c r="M3" t="s">
        <v>51</v>
      </c>
      <c r="N3" t="s">
        <v>125</v>
      </c>
      <c r="O3" t="s">
        <v>78</v>
      </c>
      <c r="P3" t="s">
        <v>73</v>
      </c>
      <c r="Q3">
        <v>5</v>
      </c>
      <c r="R3">
        <v>0.2</v>
      </c>
      <c r="S3" t="s">
        <v>52</v>
      </c>
      <c r="V3" t="s">
        <v>164</v>
      </c>
    </row>
    <row r="4" spans="1:22" x14ac:dyDescent="0.45">
      <c r="A4">
        <f>ROW()-1</f>
        <v>3</v>
      </c>
      <c r="B4" t="s">
        <v>117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120</v>
      </c>
      <c r="M4" t="s">
        <v>118</v>
      </c>
      <c r="N4" t="s">
        <v>125</v>
      </c>
      <c r="S4" t="s">
        <v>119</v>
      </c>
      <c r="V4" t="s">
        <v>164</v>
      </c>
    </row>
    <row r="5" spans="1:22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121</v>
      </c>
      <c r="M5" t="s">
        <v>55</v>
      </c>
      <c r="S5" t="s">
        <v>56</v>
      </c>
      <c r="V5" t="s">
        <v>165</v>
      </c>
    </row>
    <row r="6" spans="1:22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102</v>
      </c>
      <c r="M6" t="s">
        <v>91</v>
      </c>
      <c r="N6" t="s">
        <v>126</v>
      </c>
      <c r="O6" t="s">
        <v>92</v>
      </c>
      <c r="P6" t="s">
        <v>73</v>
      </c>
      <c r="Q6">
        <v>3</v>
      </c>
      <c r="R6">
        <v>0</v>
      </c>
      <c r="S6" t="s">
        <v>93</v>
      </c>
      <c r="V6" t="s">
        <v>165</v>
      </c>
    </row>
    <row r="7" spans="1:22" x14ac:dyDescent="0.45">
      <c r="A7">
        <f t="shared" si="0"/>
        <v>6</v>
      </c>
      <c r="B7" t="s">
        <v>179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103</v>
      </c>
      <c r="M7" t="s">
        <v>94</v>
      </c>
      <c r="N7" t="s">
        <v>127</v>
      </c>
      <c r="O7" t="s">
        <v>77</v>
      </c>
      <c r="P7" t="s">
        <v>73</v>
      </c>
      <c r="Q7">
        <v>10</v>
      </c>
      <c r="R7">
        <v>0.1</v>
      </c>
      <c r="S7" t="s">
        <v>177</v>
      </c>
      <c r="V7" t="s">
        <v>165</v>
      </c>
    </row>
    <row r="8" spans="1:22" x14ac:dyDescent="0.45">
      <c r="A8">
        <f t="shared" si="0"/>
        <v>7</v>
      </c>
      <c r="B8" t="s">
        <v>95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122</v>
      </c>
      <c r="M8" t="s">
        <v>96</v>
      </c>
      <c r="N8" t="s">
        <v>128</v>
      </c>
      <c r="O8" t="s">
        <v>60</v>
      </c>
      <c r="P8" t="s">
        <v>73</v>
      </c>
      <c r="Q8">
        <v>10</v>
      </c>
      <c r="R8">
        <v>2</v>
      </c>
      <c r="S8" t="s">
        <v>97</v>
      </c>
      <c r="V8" t="s">
        <v>165</v>
      </c>
    </row>
    <row r="9" spans="1:22" x14ac:dyDescent="0.45">
      <c r="A9">
        <f t="shared" si="0"/>
        <v>8</v>
      </c>
      <c r="B9" t="s">
        <v>98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104</v>
      </c>
      <c r="M9" t="s">
        <v>99</v>
      </c>
      <c r="O9" t="s">
        <v>76</v>
      </c>
      <c r="P9" t="s">
        <v>100</v>
      </c>
      <c r="Q9">
        <v>10</v>
      </c>
      <c r="R9">
        <v>1.2</v>
      </c>
      <c r="S9" t="s">
        <v>101</v>
      </c>
      <c r="V9" t="s">
        <v>162</v>
      </c>
    </row>
    <row r="10" spans="1:22" x14ac:dyDescent="0.45">
      <c r="A10">
        <f t="shared" ref="A10:A16" si="1">ROW()-1</f>
        <v>9</v>
      </c>
      <c r="B10" t="s">
        <v>105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106</v>
      </c>
      <c r="M10" t="s">
        <v>116</v>
      </c>
      <c r="O10" t="s">
        <v>77</v>
      </c>
      <c r="P10" t="s">
        <v>100</v>
      </c>
      <c r="Q10">
        <v>10</v>
      </c>
      <c r="R10">
        <v>1.5</v>
      </c>
      <c r="S10" t="s">
        <v>107</v>
      </c>
      <c r="V10" t="s">
        <v>162</v>
      </c>
    </row>
    <row r="11" spans="1:22" x14ac:dyDescent="0.45">
      <c r="A11">
        <f t="shared" si="1"/>
        <v>10</v>
      </c>
      <c r="B11" t="s">
        <v>108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110</v>
      </c>
      <c r="M11" t="s">
        <v>111</v>
      </c>
      <c r="O11" t="s">
        <v>78</v>
      </c>
      <c r="P11" t="s">
        <v>100</v>
      </c>
      <c r="Q11">
        <v>10</v>
      </c>
      <c r="R11">
        <v>1.5</v>
      </c>
      <c r="S11" t="s">
        <v>109</v>
      </c>
      <c r="V11" t="s">
        <v>162</v>
      </c>
    </row>
    <row r="12" spans="1:22" x14ac:dyDescent="0.45">
      <c r="A12">
        <f t="shared" si="1"/>
        <v>11</v>
      </c>
      <c r="B12" t="s">
        <v>112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113</v>
      </c>
      <c r="M12" t="s">
        <v>114</v>
      </c>
      <c r="S12" t="s">
        <v>115</v>
      </c>
      <c r="V12" t="s">
        <v>162</v>
      </c>
    </row>
    <row r="13" spans="1:22" x14ac:dyDescent="0.45">
      <c r="A13">
        <f t="shared" si="1"/>
        <v>12</v>
      </c>
      <c r="B13" t="s">
        <v>175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134</v>
      </c>
      <c r="M13" t="s">
        <v>134</v>
      </c>
      <c r="N13" t="s">
        <v>134</v>
      </c>
      <c r="S13" t="s">
        <v>135</v>
      </c>
      <c r="V13" t="s">
        <v>165</v>
      </c>
    </row>
    <row r="14" spans="1:22" x14ac:dyDescent="0.45">
      <c r="A14">
        <f t="shared" si="1"/>
        <v>13</v>
      </c>
      <c r="B14" t="s">
        <v>137</v>
      </c>
      <c r="C14" t="s">
        <v>11</v>
      </c>
      <c r="D14" t="s">
        <v>21</v>
      </c>
      <c r="E14">
        <v>1</v>
      </c>
      <c r="F14">
        <v>10</v>
      </c>
      <c r="G14">
        <v>0</v>
      </c>
      <c r="H14">
        <v>0</v>
      </c>
      <c r="I14">
        <v>20</v>
      </c>
      <c r="J14" t="s">
        <v>50</v>
      </c>
      <c r="K14">
        <v>0</v>
      </c>
      <c r="L14" t="s">
        <v>149</v>
      </c>
      <c r="M14" t="s">
        <v>149</v>
      </c>
      <c r="S14" t="s">
        <v>138</v>
      </c>
      <c r="T14">
        <v>10</v>
      </c>
      <c r="U14">
        <v>60</v>
      </c>
      <c r="V14" t="s">
        <v>164</v>
      </c>
    </row>
    <row r="15" spans="1:22" x14ac:dyDescent="0.45">
      <c r="A15">
        <f t="shared" si="1"/>
        <v>14</v>
      </c>
      <c r="B15" t="s">
        <v>140</v>
      </c>
      <c r="C15" t="s">
        <v>11</v>
      </c>
      <c r="D15" t="s">
        <v>21</v>
      </c>
      <c r="E15">
        <v>8</v>
      </c>
      <c r="F15">
        <v>15</v>
      </c>
      <c r="G15">
        <v>0</v>
      </c>
      <c r="H15">
        <v>0.3</v>
      </c>
      <c r="I15">
        <v>30</v>
      </c>
      <c r="J15" t="s">
        <v>50</v>
      </c>
      <c r="K15">
        <v>0</v>
      </c>
      <c r="L15" t="s">
        <v>141</v>
      </c>
      <c r="M15" t="s">
        <v>141</v>
      </c>
      <c r="S15" t="s">
        <v>142</v>
      </c>
      <c r="V15" t="s">
        <v>164</v>
      </c>
    </row>
    <row r="16" spans="1:22" x14ac:dyDescent="0.45">
      <c r="A16">
        <f t="shared" si="1"/>
        <v>15</v>
      </c>
      <c r="B16" t="s">
        <v>144</v>
      </c>
      <c r="C16" t="s">
        <v>11</v>
      </c>
      <c r="D16" t="s">
        <v>21</v>
      </c>
      <c r="E16">
        <v>3</v>
      </c>
      <c r="F16">
        <v>10</v>
      </c>
      <c r="G16">
        <v>0</v>
      </c>
      <c r="H16">
        <v>0.2</v>
      </c>
      <c r="I16">
        <v>15</v>
      </c>
      <c r="J16" t="s">
        <v>50</v>
      </c>
      <c r="K16">
        <v>2</v>
      </c>
      <c r="L16" t="s">
        <v>145</v>
      </c>
      <c r="M16" t="s">
        <v>145</v>
      </c>
      <c r="S16" t="s">
        <v>146</v>
      </c>
      <c r="T16">
        <v>3</v>
      </c>
      <c r="U16">
        <v>15</v>
      </c>
      <c r="V16" t="s">
        <v>164</v>
      </c>
    </row>
    <row r="17" spans="1:22" x14ac:dyDescent="0.45">
      <c r="A17">
        <f>ROW()-1</f>
        <v>16</v>
      </c>
      <c r="B17" t="s">
        <v>176</v>
      </c>
      <c r="C17" t="s">
        <v>11</v>
      </c>
      <c r="D17" t="s">
        <v>21</v>
      </c>
      <c r="E17">
        <v>5</v>
      </c>
      <c r="F17">
        <v>10</v>
      </c>
      <c r="G17">
        <v>8</v>
      </c>
      <c r="H17">
        <v>0.5</v>
      </c>
      <c r="I17">
        <v>13</v>
      </c>
      <c r="J17" t="s">
        <v>50</v>
      </c>
      <c r="K17">
        <v>0</v>
      </c>
      <c r="L17" t="s">
        <v>183</v>
      </c>
      <c r="M17" t="s">
        <v>183</v>
      </c>
      <c r="S17" t="s">
        <v>181</v>
      </c>
      <c r="V17" t="s">
        <v>169</v>
      </c>
    </row>
    <row r="18" spans="1:22" x14ac:dyDescent="0.45">
      <c r="A18">
        <f>ROW()-1</f>
        <v>17</v>
      </c>
      <c r="B18" t="s">
        <v>180</v>
      </c>
      <c r="C18" t="s">
        <v>12</v>
      </c>
      <c r="D18" t="s">
        <v>21</v>
      </c>
      <c r="E18">
        <v>5</v>
      </c>
      <c r="F18">
        <v>10</v>
      </c>
      <c r="G18">
        <v>8</v>
      </c>
      <c r="H18">
        <v>0.3</v>
      </c>
      <c r="I18">
        <v>10</v>
      </c>
      <c r="J18" t="s">
        <v>50</v>
      </c>
      <c r="K18">
        <v>0</v>
      </c>
      <c r="L18" t="s">
        <v>184</v>
      </c>
      <c r="M18" t="s">
        <v>184</v>
      </c>
      <c r="S18" t="s">
        <v>178</v>
      </c>
      <c r="V18" t="s">
        <v>182</v>
      </c>
    </row>
    <row r="19" spans="1:22" x14ac:dyDescent="0.45">
      <c r="A19">
        <f>ROW()-1</f>
        <v>18</v>
      </c>
      <c r="B19" t="s">
        <v>185</v>
      </c>
      <c r="C19" t="s">
        <v>12</v>
      </c>
      <c r="D19" t="s">
        <v>21</v>
      </c>
      <c r="E19">
        <v>5</v>
      </c>
      <c r="F19">
        <v>10</v>
      </c>
      <c r="G19">
        <v>0</v>
      </c>
      <c r="H19">
        <v>0.3</v>
      </c>
      <c r="I19">
        <v>0</v>
      </c>
      <c r="J19" t="s">
        <v>50</v>
      </c>
      <c r="K19">
        <v>0</v>
      </c>
      <c r="L19" t="s">
        <v>186</v>
      </c>
      <c r="M19" t="s">
        <v>186</v>
      </c>
      <c r="O19" t="s">
        <v>76</v>
      </c>
      <c r="P19" t="s">
        <v>73</v>
      </c>
      <c r="Q19">
        <v>10</v>
      </c>
      <c r="R19">
        <v>0.2</v>
      </c>
      <c r="S19" t="s">
        <v>187</v>
      </c>
      <c r="V19" t="s">
        <v>165</v>
      </c>
    </row>
    <row r="20" spans="1:22" x14ac:dyDescent="0.45">
      <c r="A20">
        <f>ROW()-1</f>
        <v>19</v>
      </c>
      <c r="B20" t="s">
        <v>189</v>
      </c>
      <c r="C20" t="s">
        <v>12</v>
      </c>
      <c r="D20" t="s">
        <v>21</v>
      </c>
      <c r="E20">
        <v>1</v>
      </c>
      <c r="F20">
        <v>20</v>
      </c>
      <c r="G20">
        <v>10</v>
      </c>
      <c r="H20">
        <v>0.2</v>
      </c>
      <c r="I20">
        <v>0</v>
      </c>
      <c r="J20" t="s">
        <v>50</v>
      </c>
      <c r="K20">
        <v>0</v>
      </c>
      <c r="L20" t="s">
        <v>190</v>
      </c>
      <c r="M20" t="s">
        <v>190</v>
      </c>
      <c r="S20" t="s">
        <v>191</v>
      </c>
      <c r="V20" t="s">
        <v>188</v>
      </c>
    </row>
  </sheetData>
  <phoneticPr fontId="1"/>
  <dataValidations count="3">
    <dataValidation type="decimal" allowBlank="1" showInputMessage="1" showErrorMessage="1" sqref="E2:I20" xr:uid="{1DD7AC07-48F3-4158-AFAE-9A67E1197F38}">
      <formula1>0</formula1>
      <formula2>600</formula2>
    </dataValidation>
    <dataValidation type="whole" allowBlank="1" showInputMessage="1" showErrorMessage="1" sqref="K2:K20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24</xdr:row>
                    <xdr:rowOff>7620</xdr:rowOff>
                  </from>
                  <to>
                    <xdr:col>19</xdr:col>
                    <xdr:colOff>7620</xdr:colOff>
                    <xdr:row>26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A0A6037-F450-4342-8C2E-1B714890B523}">
          <x14:formula1>
            <xm:f>検索用シート!$A$2:$A$6</xm:f>
          </x14:formula1>
          <xm:sqref>C2:C20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D2:D20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J2:J20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P2:P20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O2:O20</xm:sqref>
        </x14:dataValidation>
        <x14:dataValidation type="list" allowBlank="1" showInputMessage="1" showErrorMessage="1" xr:uid="{404A9E6F-0117-4C65-AE48-C26404715405}">
          <x14:formula1>
            <xm:f>検索用シート!$A$9:$A$20</xm:f>
          </x14:formula1>
          <xm:sqref>V2:V20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2026-09-29T03:19:27Z</dcterms:modified>
</cp:coreProperties>
</file>