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924CEEA8-63FD-4919-A2BC-AD82A1642799}" xr6:coauthVersionLast="36" xr6:coauthVersionMax="36" xr10:uidLastSave="{00000000-0000-0000-0000-000000000000}"/>
  <bookViews>
    <workbookView xWindow="0" yWindow="0" windowWidth="23040" windowHeight="8124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9" l="1"/>
  <c r="N3" i="9"/>
  <c r="N4" i="9"/>
  <c r="N5" i="9"/>
  <c r="N6" i="9"/>
  <c r="N7" i="9"/>
  <c r="N8" i="9"/>
  <c r="N9" i="9"/>
  <c r="N10" i="9"/>
  <c r="N11" i="9"/>
  <c r="N12" i="9"/>
  <c r="M2" i="9"/>
  <c r="P2" i="9" l="1"/>
  <c r="P3" i="9"/>
  <c r="P4" i="9"/>
  <c r="P5" i="9"/>
  <c r="P6" i="9"/>
  <c r="P7" i="9"/>
  <c r="P8" i="9"/>
  <c r="P9" i="9"/>
  <c r="P10" i="9"/>
  <c r="P11" i="9"/>
  <c r="P12" i="9"/>
  <c r="O2" i="9"/>
  <c r="O3" i="9"/>
  <c r="O4" i="9"/>
  <c r="O5" i="9"/>
  <c r="O6" i="9"/>
  <c r="O7" i="9"/>
  <c r="O8" i="9"/>
  <c r="O9" i="9"/>
  <c r="O10" i="9"/>
  <c r="O11" i="9"/>
  <c r="O12" i="9"/>
  <c r="M3" i="9"/>
  <c r="M4" i="9"/>
  <c r="M5" i="9"/>
  <c r="M6" i="9"/>
  <c r="M7" i="9"/>
  <c r="M8" i="9"/>
  <c r="M9" i="9"/>
  <c r="M10" i="9"/>
  <c r="M11" i="9"/>
  <c r="M12" i="9"/>
  <c r="L2" i="9"/>
  <c r="L3" i="9"/>
  <c r="L4" i="9"/>
  <c r="L5" i="9"/>
  <c r="L6" i="9"/>
  <c r="L7" i="9"/>
  <c r="L8" i="9"/>
  <c r="L9" i="9"/>
  <c r="L10" i="9"/>
  <c r="L11" i="9"/>
  <c r="L12" i="9"/>
  <c r="J2" i="9"/>
  <c r="J3" i="9"/>
  <c r="J4" i="9"/>
  <c r="J5" i="9"/>
  <c r="J6" i="9"/>
  <c r="J7" i="9"/>
  <c r="J8" i="9"/>
  <c r="J9" i="9"/>
  <c r="J10" i="9"/>
  <c r="J11" i="9"/>
  <c r="J12" i="9"/>
  <c r="D2" i="9"/>
  <c r="D3" i="9"/>
  <c r="D4" i="9"/>
  <c r="D5" i="9"/>
  <c r="D6" i="9"/>
  <c r="D7" i="9"/>
  <c r="D8" i="9"/>
  <c r="D9" i="9"/>
  <c r="D10" i="9"/>
  <c r="D11" i="9"/>
  <c r="D12" i="9"/>
  <c r="C2" i="9"/>
  <c r="C3" i="9"/>
  <c r="C4" i="9"/>
  <c r="C5" i="9"/>
  <c r="C6" i="9"/>
  <c r="C7" i="9"/>
  <c r="C8" i="9"/>
  <c r="C9" i="9"/>
  <c r="C10" i="9"/>
  <c r="C11" i="9"/>
  <c r="C12" i="9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<sst xmlns="http://schemas.openxmlformats.org/spreadsheetml/2006/main" count="212" uniqueCount="131">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</sst>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16</xdr:row>
          <xdr:rowOff>7620</xdr:rowOff>
        </xdr:from>
        <xdr:to>
          <xdr:col>19</xdr:col>
          <xdr:colOff>7620</xdr:colOff>
          <xdr:row>18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C3D8E-07A0-499B-89AC-1C72C1EDCD8D}" name="OutputTable" displayName="OutputTable" ref="A1:S12" totalsRowShown="0">
  <autoFilter ref="A1:S12" xr:uid="{F2ECBCF8-EB7E-4081-9199-6FE36E7008FA}"/>
  <tableColumns count="19">
    <tableColumn id="1" xr3:uid="{23F50112-94D3-4312-915A-8C124D462B6A}" name="No"/>
    <tableColumn id="2" xr3:uid="{56EFFE87-98ED-4D0F-8943-173ABDDF0CD5}" name="名前"/>
    <tableColumn id="3" xr3:uid="{9377EE29-50ED-428A-AB6C-25F7137FACF3}" name="ターゲット方法">
      <calculatedColumnFormula>VLOOKUP('InputFile(Skill)'!C2, 検索用シート!$A$2:$B$6, 2, FALSE)</calculatedColumnFormula>
    </tableColumn>
    <tableColumn id="4" xr3:uid="{5BDD1FDE-9B36-4A38-8002-E206BED499B7}" name="攻撃方法">
      <calculatedColumnFormula>VLOOKUP('InputFile(Skill)'!D2, 検索用シート!$D$2:$E$5, 2, FALSE)</calculatedColumnFormula>
    </tableColumn>
    <tableColumn id="5" xr3:uid="{FAEFD7DA-DA60-4EFB-B43C-C3C91C991109}" name="値"/>
    <tableColumn id="6" xr3:uid="{6560311C-4B4C-4843-BED8-5EE81D511B69}" name="クールタイム"/>
    <tableColumn id="7" xr3:uid="{3280E406-A06A-4021-AF34-B1A76E932D9D}" name="持続時間"/>
    <tableColumn id="8" xr3:uid="{1504FF50-95E2-4634-B55F-ADDF5E7F7BE4}" name="予備動作時間"/>
    <tableColumn id="9" xr3:uid="{5DBD4DBF-6E8F-4E15-AF8B-C13B44AF8AF3}" name="移動速度"/>
    <tableColumn id="10" xr3:uid="{6E99F2BF-E4AE-46AE-90E8-AD79CE696074}" name="貫通">
      <calculatedColumnFormula>VLOOKUP('InputFile(Skill)'!J2, 検索用シート!$G$2:$H$3, 2, FALSE)</calculatedColumnFormula>
    </tableColumn>
    <tableColumn id="11" xr3:uid="{B5F593F9-55CC-4408-9973-98371244E6AC}" name="反射回数"/>
    <tableColumn id="12" xr3:uid="{E9FEF47B-6FDF-4A52-A7E7-6FFD63E14156}" name="画像パス">
      <calculatedColumnFormula>検索用シート!$J$8 &amp; 'InputFile(Skill)'!L2</calculatedColumnFormula>
    </tableColumn>
    <tableColumn id="13" xr3:uid="{D9A0F3CE-384B-4BAA-AC3C-A779159B04D1}" name="スキルオブジェクト">
      <calculatedColumnFormula>検索用シート!$J$2 &amp; 'InputFile(Skill)'!M2</calculatedColumnFormula>
    </tableColumn>
    <tableColumn id="14" xr3:uid="{0328B203-EDED-440F-8B89-1BC466003ADD}" name="効果音" dataDxfId="0">
      <calculatedColumnFormula>'InputFile(Skill)'!N2</calculatedColumnFormula>
    </tableColumn>
    <tableColumn id="15" xr3:uid="{3DB3754B-D29A-45BF-989B-41D723959EAD}" name="付与するエフェクト">
      <calculatedColumnFormula>IF('InputFile(Skill)'!O2="", "", IFERROR(VLOOKUP('InputFile(Skill)'!O2, 検索用シート!$L$2:$M$14, 2, FALSE), ""))</calculatedColumnFormula>
    </tableColumn>
    <tableColumn id="16" xr3:uid="{BCD1D780-BE75-4C7C-A9EC-66DCD8253B21}" name="バフか">
      <calculatedColumnFormula>IF('InputFile(Skill)'!P2="", "", IFERROR(VLOOKUP('InputFile(Skill)'!P2, 検索用シート!$G$6:$H$7, 2, FALSE), ""))</calculatedColumnFormula>
    </tableColumn>
    <tableColumn id="17" xr3:uid="{0183796A-8C49-410A-A443-E0F2D6754DE1}" name="エフェクト持続時間"/>
    <tableColumn id="18" xr3:uid="{B4F73686-5A29-4161-B903-5CC26CD7BEA6}" name="エフェクト数値"/>
    <tableColumn id="19" xr3:uid="{E88F1C75-2CEC-48D0-A3EF-85D91D052CDC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S12" totalsRowShown="0">
  <autoFilter ref="A1:S12" xr:uid="{1F6AF440-C034-4897-9253-FD1BE22FEFC7}"/>
  <tableColumns count="19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S12"/>
  <sheetViews>
    <sheetView tabSelected="1" workbookViewId="0">
      <selection activeCell="N5" sqref="N5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</cols>
  <sheetData>
    <row r="1" spans="1:19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</row>
    <row r="2" spans="1:19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tr">
        <f>'InputFile(Skill)'!N2</f>
        <v>Spear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19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tr">
        <f>'InputFile(Skill)'!N3</f>
        <v>Spear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19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3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tr">
        <f>'InputFile(Skill)'!N4</f>
        <v>Spear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19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N5">
        <f>'InputFile(Skill)'!N5</f>
        <v>0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19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tr">
        <f>'InputFile(Skill)'!N6</f>
        <v>Ice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19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tr">
        <f>'InputFile(Skill)'!N7</f>
        <v>Shadow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19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tr">
        <f>'InputFile(Skill)'!N8</f>
        <v>Poison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19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N9">
        <f>'InputFile(Skill)'!N9</f>
        <v>0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19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N10">
        <f>'InputFile(Skill)'!N10</f>
        <v>0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19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N11">
        <f>'InputFile(Skill)'!N11</f>
        <v>0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19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N12">
        <f>'InputFile(Skill)'!N12</f>
        <v>0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J8" sqref="J8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sheetProtection algorithmName="SHA-512" hashValue="sDvs67PMLfJ0vheWwia717iahJVAtaF+vZRStJXlphJEOfg2kFtS6L1k57qXLXyPYd/yie2429iQke6C8flBEQ==" saltValue="XB7TbEHIdqQ5zQE+//PHsg==" spinCount="100000" sheet="1" objects="1" scenarios="1"/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S12"/>
  <sheetViews>
    <sheetView workbookViewId="0">
      <selection activeCell="N2" sqref="N2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2.29687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</row>
    <row r="2" spans="1:19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L2" t="s">
        <v>126</v>
      </c>
      <c r="M2" t="s">
        <v>53</v>
      </c>
      <c r="N2" t="s">
        <v>127</v>
      </c>
      <c r="S2" t="s">
        <v>42</v>
      </c>
    </row>
    <row r="3" spans="1:19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125</v>
      </c>
      <c r="M3" t="s">
        <v>51</v>
      </c>
      <c r="N3" t="s">
        <v>127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19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3</v>
      </c>
      <c r="L4" t="s">
        <v>122</v>
      </c>
      <c r="M4" t="s">
        <v>120</v>
      </c>
      <c r="N4" t="s">
        <v>127</v>
      </c>
      <c r="S4" t="s">
        <v>121</v>
      </c>
    </row>
    <row r="5" spans="1:19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123</v>
      </c>
      <c r="M5" t="s">
        <v>55</v>
      </c>
      <c r="S5" t="s">
        <v>56</v>
      </c>
    </row>
    <row r="6" spans="1:19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N6" t="s">
        <v>128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19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N7" t="s">
        <v>129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19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124</v>
      </c>
      <c r="M8" t="s">
        <v>98</v>
      </c>
      <c r="N8" t="s">
        <v>130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19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19" x14ac:dyDescent="0.45">
      <c r="A10">
        <f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19" x14ac:dyDescent="0.45">
      <c r="A11">
        <f>ROW()-1</f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19" x14ac:dyDescent="0.45">
      <c r="A12">
        <f>ROW()-1</f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</sheetData>
  <phoneticPr fontId="1"/>
  <dataValidations count="3">
    <dataValidation type="decimal" allowBlank="1" showInputMessage="1" showErrorMessage="1" sqref="E2:I12" xr:uid="{1DD7AC07-48F3-4158-AFAE-9A67E1197F38}">
      <formula1>0</formula1>
      <formula2>600</formula2>
    </dataValidation>
    <dataValidation type="whole" allowBlank="1" showInputMessage="1" showErrorMessage="1" sqref="K2:K12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16</xdr:row>
                    <xdr:rowOff>7620</xdr:rowOff>
                  </from>
                  <to>
                    <xdr:col>19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C2:C12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D2:D12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J2:J12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P2:P12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2026-09-17T04:49:47Z</dcterms:modified>
</cp:coreProperties>
</file>