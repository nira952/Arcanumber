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C51962E0-AF24-4ECA-B53F-F3B586AFE67F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A20" i="1" l="1"/>
  <c r="A19" i="1" l="1"/>
  <c r="A18" i="1" l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<sst xmlns="http://schemas.openxmlformats.org/spreadsheetml/2006/main" count="367" uniqueCount="211">
  <si>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</si>
  <si>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</si>
  <si>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</si>
  <si>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</si>
  <si>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</si>
  <si>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</si>
  <si>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</si>
  <si>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</si>
  <si>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</si>
  <si>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</si>
  <si>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</si>
  <si>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</si>
  <si>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</si>
  <si>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</si>
  <si>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</si>
  <si>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</si>
  <si>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</si>
  <si>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</si>
  <si>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</si>
  <si>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</si>
  <si>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</si>
  <si>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</si>
  <si>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</si>
  <si>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</si>
  <si>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</si>
  <si>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</si>
  <si>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</si>
  <si>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</si>
  <si>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</si>
  <si>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</si>
  <si>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</si>
  <si>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</si>
  <si>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</si>
  <si>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</si>
  <si>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</si>
  <si>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</si>
  <si>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</si>
  <si>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</si>
  <si>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</si>
  <si>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</si>
  <si>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</si>
  <si>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</si>
  <si>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</si>
  <si>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</si>
  <si>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</si>
  <si>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</si>
  <si>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</si>
  <si>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</si>
  <si>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</si>
  <si>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</si>
  <si>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</si>
  <si>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</si>
  <si>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</si>
  <si>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</si>
  <si>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</si>
  <si>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</si>
  <si>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</si>
  <si>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</si>
  <si>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</si>
  <si>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</si>
  <si>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</si>
  <si>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</si>
  <si>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</si>
  <si>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</si>
  <si>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</si>
  <si>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</si>
  <si>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</si>
  <si>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</si>
  <si>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</si>
  <si>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</si>
  <si>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</si>
  <si>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</si>
  <si>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</si>
  <si>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</si>
  <si>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</si>
  <si>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</si>
  <si>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</si>
  <si>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</si>
  <si>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</si>
  <si>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</si>
  <si>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</si>
  <si>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</si>
  <si>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</si>
  <si>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</si>
  <si>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</si>
  <si>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</si>
  <si>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</si>
  <si>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</si>
  <si>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</si>
  <si>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</si>
  <si>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</si>
  <si>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</si>
  <si>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</si>
  <si>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</si>
  <si>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</si>
  <si>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</si>
  <si>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</si>
  <si>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</si>
  <si>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</si>
  <si>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</si>
  <si>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</si>
  <si>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</si>
  <si>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</si>
  <si>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</si>
  <si>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</si>
  <si>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</si>
  <si>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</si>
  <si>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</si>
  <si>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</si>
  <si>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</si>
  <si>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</si>
  <si>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</si>
  <si>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</si>
  <si>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</si>
  <si>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</si>
  <si>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</si>
  <si>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</si>
  <si>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</si>
  <si>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</si>
  <si>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</si>
  <si>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</si>
  <si>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</si>
  <si>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</si>
  <si>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</si>
  <si>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</si>
  <si>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</si>
  <si>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</si>
  <si>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</si>
  <si>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</si>
  <si>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</si>
  <si>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</si>
  <si>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</si>
  <si>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</si>
  <si>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</si>
  <si>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</si>
  <si>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</si>
  <si>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</si>
  <si>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</si>
  <si>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</si>
  <si>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</si>
  <si>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</si>
  <si>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</si>
  <si>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</si>
  <si>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</si>
  <si>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</si>
  <si>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</si>
  <si>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</si>
  <si>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</si>
  <si>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</si>
  <si>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</si>
  <si>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</si>
  <si>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</si>
  <si>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</si>
  <si>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</si>
  <si>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</si>
  <si>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</si>
  <si>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</si>
  <si>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</si>
  <si>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</si>
  <si>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</si>
  <si>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</si>
  <si>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</si>
  <si>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</si>
  <si>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</si>
  <si>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</si>
  <si>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</si>
  <si>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</si>
  <si>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</si>
  <si>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</si>
  <si>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</si>
  <si>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</si>
  <si>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</si>
  <si>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</si>
  <si>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</si>
  <si>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</si>
  <si>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</si>
  <si>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</si>
  <si>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</si>
  <si>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敵を追尾する魔法</t>
    <rPh sb="0" eb="1">
      <t>テキ</t>
    </rPh>
    <rPh sb="2" eb="4">
      <t>ツイビ</t>
    </rPh>
    <rPh sb="6" eb="8">
      <t>マホウ</t>
    </rPh>
    <phoneticPr fontId="1"/>
  </si>
  <si>
    <t>影魔法</t>
    <rPh sb="0" eb="1">
      <t>カゲ</t>
    </rPh>
    <rPh sb="1" eb="3">
      <t>マホウ</t>
    </rPh>
    <phoneticPr fontId="1"/>
  </si>
  <si>
    <t>闇魔法</t>
    <rPh sb="0" eb="1">
      <t>ヤミ</t>
    </rPh>
    <rPh sb="1" eb="3">
      <t>マホウ</t>
    </rPh>
    <phoneticPr fontId="1"/>
  </si>
  <si>
    <t>自分に帰ってくる魔法を出す</t>
    <rPh sb="0" eb="2">
      <t>ジブン</t>
    </rPh>
    <rPh sb="3" eb="4">
      <t>カエ</t>
    </rPh>
    <rPh sb="8" eb="10">
      <t>マホウ</t>
    </rPh>
    <rPh sb="11" eb="12">
      <t>ダ</t>
    </rPh>
    <phoneticPr fontId="1"/>
  </si>
  <si>
    <t>ホーミング</t>
  </si>
  <si>
    <t>Grass</t>
    <phoneticPr fontId="1"/>
  </si>
  <si>
    <t>Shadow</t>
    <phoneticPr fontId="1"/>
  </si>
  <si>
    <t>水魔法</t>
    <rPh sb="0" eb="3">
      <t>ミズマホウ</t>
    </rPh>
    <phoneticPr fontId="1"/>
  </si>
  <si>
    <t>Water</t>
    <phoneticPr fontId="1"/>
  </si>
  <si>
    <t>攻撃を下げる魔法</t>
    <rPh sb="0" eb="2">
      <t>コウゲキ</t>
    </rPh>
    <rPh sb="3" eb="4">
      <t>サ</t>
    </rPh>
    <rPh sb="6" eb="8">
      <t>マホウ</t>
    </rPh>
    <phoneticPr fontId="1"/>
  </si>
  <si>
    <t>持続攻撃</t>
    <rPh sb="0" eb="2">
      <t>ジゾク</t>
    </rPh>
    <rPh sb="2" eb="4">
      <t>コウゲキ</t>
    </rPh>
    <phoneticPr fontId="1"/>
  </si>
  <si>
    <t>火魔法</t>
    <rPh sb="0" eb="1">
      <t>ヒ</t>
    </rPh>
    <rPh sb="1" eb="3">
      <t>マホウ</t>
    </rPh>
    <phoneticPr fontId="1"/>
  </si>
  <si>
    <t>Fire</t>
    <phoneticPr fontId="1"/>
  </si>
  <si>
    <t>地面に出す範囲魔法</t>
    <rPh sb="0" eb="2">
      <t>ジメン</t>
    </rPh>
    <rPh sb="3" eb="4">
      <t>ダ</t>
    </rPh>
    <rPh sb="5" eb="7">
      <t>ハンイ</t>
    </rPh>
    <rPh sb="7" eb="9">
      <t>マホウ</t>
    </rPh>
    <phoneticPr fontId="1"/>
  </si>
  <si>
    <t>Heal</t>
  </si>
  <si>
    <t>Heal</t>
    <phoneticPr fontId="1"/>
  </si>
  <si>
    <t>Shotgun</t>
  </si>
  <si>
    <t>Sniper</t>
  </si>
  <si>
    <t>Knife</t>
  </si>
  <si>
    <t>Grass</t>
  </si>
  <si>
    <t>Water</t>
  </si>
  <si>
    <t>Fire</t>
  </si>
  <si>
    <t>Buff</t>
  </si>
  <si>
    <t>Buff</t>
    <phoneticPr fontId="1"/>
  </si>
  <si>
    <t>Dark</t>
  </si>
  <si>
    <t>Dark</t>
    <phoneticPr fontId="1"/>
  </si>
  <si>
    <t>Water</t>
    <phoneticPr fontId="1"/>
  </si>
  <si>
    <t>Fire</t>
    <phoneticPr fontId="1"/>
  </si>
  <si>
    <t>Shotgun</t>
    <phoneticPr fontId="1"/>
  </si>
  <si>
    <t>Sniper</t>
    <phoneticPr fontId="1"/>
  </si>
  <si>
    <t>Knife</t>
    <phoneticPr fontId="1"/>
  </si>
  <si>
    <t>Grass</t>
    <phoneticPr fontId="1"/>
  </si>
  <si>
    <t>Dice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</si>
</sst>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24</xdr:row>
          <xdr:rowOff>7620</xdr:rowOff>
        </xdr:from>
        <xdr:to>
          <xdr:col>19</xdr:col>
          <xdr:colOff>7620</xdr:colOff>
          <xdr:row>26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2BE5FF-723D-4CE9-8D9A-2F9D7D4F3DAD}" name="OutputTable" displayName="OutputTable" ref="A1:V20" totalsRowShown="0">
  <autoFilter ref="A1:V20" xr:uid="{A15A8DC3-F82A-44AE-B57C-FE259662B435}"/>
  <tableColumns count="22">
    <tableColumn id="1" xr3:uid="{E61DA79A-41C2-41B5-B441-3FABBA9E6790}" name="No"/>
    <tableColumn id="2" xr3:uid="{CDC1A655-54E8-46A9-9C0B-F04DA1DF7211}" name="名前"/>
    <tableColumn id="3" xr3:uid="{C55C36DD-CAC8-4520-87D9-EF66C51DA529}" name="ターゲット方法">
      <calculatedColumnFormula>VLOOKUP('InputFile(Skill)'!C2, 検索用シート!$A$2:$B$6, 2, FALSE)</calculatedColumnFormula>
    </tableColumn>
    <tableColumn id="4" xr3:uid="{B2F55101-A0A4-419A-BAB7-542227126225}" name="攻撃方法">
      <calculatedColumnFormula>VLOOKUP('InputFile(Skill)'!D2, 検索用シート!$D$2:$E$5, 2, FALSE)</calculatedColumnFormula>
    </tableColumn>
    <tableColumn id="5" xr3:uid="{E3B7F780-A3A5-449B-9117-741AD80BE1C7}" name="値"/>
    <tableColumn id="6" xr3:uid="{47D1AF3A-7983-435A-9339-7B10100498B8}" name="クールタイム"/>
    <tableColumn id="7" xr3:uid="{783D1CF1-EF19-40FE-9D1D-5B21170E4962}" name="持続時間"/>
    <tableColumn id="8" xr3:uid="{87C94D62-37F2-434B-A03D-CF069CF52540}" name="予備動作時間"/>
    <tableColumn id="9" xr3:uid="{72F7FB83-DC52-4F34-8516-D024F5FB8162}" name="移動速度"/>
    <tableColumn id="10" xr3:uid="{56CF9686-2638-462A-BA6C-A11C15744697}" name="貫通">
      <calculatedColumnFormula>VLOOKUP('InputFile(Skill)'!J2, 検索用シート!$G$2:$H$3, 2, FALSE)</calculatedColumnFormula>
    </tableColumn>
    <tableColumn id="11" xr3:uid="{FA24C4CF-148F-4C6A-B1B7-80CF60875804}" name="反射回数"/>
    <tableColumn id="12" xr3:uid="{3CA0414D-F902-453F-AD7C-985AA8A3C9C9}" name="画像パス">
      <calculatedColumnFormula>検索用シート!$J$8 &amp; 'InputFile(Skill)'!L2</calculatedColumnFormula>
    </tableColumn>
    <tableColumn id="13" xr3:uid="{548A8326-E62E-40FF-95CA-0E993E0B0478}" name="スキルオブジェクト">
      <calculatedColumnFormula>検索用シート!$J$2 &amp; 'InputFile(Skill)'!M2</calculatedColumnFormula>
    </tableColumn>
    <tableColumn id="14" xr3:uid="{7286A03B-FFED-461E-B3B2-182F60C56F26}" name="効果音"/>
    <tableColumn id="15" xr3:uid="{7CBE2967-E1D5-4545-9611-7D8B7FA582D8}" name="付与するエフェクト">
      <calculatedColumnFormula>IF('InputFile(Skill)'!O2="", "", IFERROR(VLOOKUP('InputFile(Skill)'!O2, 検索用シート!$L$2:$M$14, 2, FALSE), ""))</calculatedColumnFormula>
    </tableColumn>
    <tableColumn id="16" xr3:uid="{75D40D18-2C1C-4B59-A165-381AD9BEB8B9}" name="バフか">
      <calculatedColumnFormula>IF('InputFile(Skill)'!P2="", "", IFERROR(VLOOKUP('InputFile(Skill)'!P2, 検索用シート!$G$6:$H$7, 2, FALSE), ""))</calculatedColumnFormula>
    </tableColumn>
    <tableColumn id="17" xr3:uid="{DE1979A7-8C47-4831-BD4B-1F2BD1AE381D}" name="エフェクト持続時間"/>
    <tableColumn id="18" xr3:uid="{B5C573CB-5585-4F7A-9140-D79F62E2B832}" name="エフェクト数値"/>
    <tableColumn id="19" xr3:uid="{B6A7A479-A03D-4988-AD4E-A574D58F931D}" name="説明"/>
    <tableColumn id="20" xr3:uid="{45F28F41-A780-4282-B28B-6024C61E5C52}" name="生成個数"/>
    <tableColumn id="21" xr3:uid="{892BEAC8-2B13-4947-8C10-52C43F68A4BD}" name="角度"/>
    <tableColumn id="22" xr3:uid="{B3CD9B7F-4216-46C1-BF43-DC0E11A8A625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20" totalsRowShown="0">
  <autoFilter ref="A1:V20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20"/>
  <sheetViews>
    <sheetView topLeftCell="M1" workbookViewId="0">
      <selection sqref="A1:V20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N5" t="s">
        <v>121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179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177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N9" t="s">
        <v>200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N10" t="s">
        <v>200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N11" t="s">
        <v>200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N12" t="s">
        <v>192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2</v>
      </c>
      <c r="H14">
        <v>0</v>
      </c>
      <c r="I14">
        <v>17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N14" t="s">
        <v>194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-20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15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N15" t="s">
        <v>195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15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N16" t="s">
        <v>196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176</v>
      </c>
      <c r="C17" t="str">
        <f>VLOOKUP('InputFile(Skill)'!C17, 検索用シート!$A$2:$B$6, 2, FALSE)</f>
        <v>Direction</v>
      </c>
      <c r="D17" t="str">
        <f>VLOOKUP('InputFile(Skill)'!D17, 検索用シート!$D$2:$E$5, 2, FALSE)</f>
        <v>Attack</v>
      </c>
      <c r="E17">
        <v>5</v>
      </c>
      <c r="F17">
        <v>10</v>
      </c>
      <c r="G17">
        <v>8</v>
      </c>
      <c r="H17">
        <v>0.5</v>
      </c>
      <c r="I17">
        <v>13</v>
      </c>
      <c r="J17">
        <f>VLOOKUP('InputFile(Skill)'!J17, 検索用シート!$G$2:$H$3, 2, FALSE)</f>
        <v>-1</v>
      </c>
      <c r="K17">
        <v>0</v>
      </c>
      <c r="L17" t="str">
        <f>検索用シート!$J$8 &amp; 'InputFile(Skill)'!L17</f>
        <v>Sprites/Icon/Grass</v>
      </c>
      <c r="M17" t="str">
        <f>検索用シート!$J$2 &amp; 'InputFile(Skill)'!M17</f>
        <v>Effect/Skill/Grass</v>
      </c>
      <c r="N17" t="s">
        <v>197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S17" t="s">
        <v>181</v>
      </c>
      <c r="V17" t="str">
        <f>VLOOKUP('InputFile(Skill)'!V17, 検索用シート!$A$9:$B$20, 2, FALSE)</f>
        <v>Boomerang</v>
      </c>
    </row>
    <row r="18" spans="1:22" x14ac:dyDescent="0.45">
      <c r="A18">
        <v>17</v>
      </c>
      <c r="B18" t="s">
        <v>180</v>
      </c>
      <c r="C18" t="str">
        <f>VLOOKUP('InputFile(Skill)'!C18, 検索用シート!$A$2:$B$6, 2, FALSE)</f>
        <v>LookOn</v>
      </c>
      <c r="D18" t="str">
        <f>VLOOKUP('InputFile(Skill)'!D18, 検索用シート!$D$2:$E$5, 2, FALSE)</f>
        <v>Attack</v>
      </c>
      <c r="E18">
        <v>3</v>
      </c>
      <c r="F18">
        <v>10</v>
      </c>
      <c r="G18">
        <v>8</v>
      </c>
      <c r="H18">
        <v>0.3</v>
      </c>
      <c r="I18">
        <v>10</v>
      </c>
      <c r="J18">
        <f>VLOOKUP('InputFile(Skill)'!J18, 検索用シート!$G$2:$H$3, 2, FALSE)</f>
        <v>-1</v>
      </c>
      <c r="K18">
        <v>0</v>
      </c>
      <c r="L18" t="str">
        <f>検索用シート!$J$8 &amp; 'InputFile(Skill)'!L18</f>
        <v>Sprites/Icon/Shadow</v>
      </c>
      <c r="M18" t="str">
        <f>検索用シート!$J$2 &amp; 'InputFile(Skill)'!M18</f>
        <v>Effect/Skill/Shadow</v>
      </c>
      <c r="N18" t="s">
        <v>202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178</v>
      </c>
      <c r="V18" t="str">
        <f>VLOOKUP('InputFile(Skill)'!V18, 検索用シート!$A$9:$B$20, 2, FALSE)</f>
        <v>Homing</v>
      </c>
    </row>
    <row r="19" spans="1:22" x14ac:dyDescent="0.45">
      <c r="A19">
        <v>18</v>
      </c>
      <c r="B19" t="s">
        <v>185</v>
      </c>
      <c r="C19" t="str">
        <f>VLOOKUP('InputFile(Skill)'!C19, 検索用シート!$A$2:$B$6, 2, FALSE)</f>
        <v>LookOn</v>
      </c>
      <c r="D19" t="str">
        <f>VLOOKUP('InputFile(Skill)'!D19, 検索用シート!$D$2:$E$5, 2, FALSE)</f>
        <v>Attack</v>
      </c>
      <c r="E19">
        <v>5</v>
      </c>
      <c r="F19">
        <v>10</v>
      </c>
      <c r="G19">
        <v>0</v>
      </c>
      <c r="H19">
        <v>0.3</v>
      </c>
      <c r="I19">
        <v>0</v>
      </c>
      <c r="J19">
        <f>VLOOKUP('InputFile(Skill)'!J19, 検索用シート!$G$2:$H$3, 2, FALSE)</f>
        <v>-1</v>
      </c>
      <c r="K19">
        <v>0</v>
      </c>
      <c r="L19" t="str">
        <f>検索用シート!$J$8 &amp; 'InputFile(Skill)'!L19</f>
        <v>Sprites/Icon/Water</v>
      </c>
      <c r="M19" t="str">
        <f>検索用シート!$J$2 &amp; 'InputFile(Skill)'!M19</f>
        <v>Effect/Skill/Water</v>
      </c>
      <c r="N19" t="s">
        <v>198</v>
      </c>
      <c r="O19" t="str">
        <f>IF('InputFile(Skill)'!O19="", "", IFERROR(VLOOKUP('InputFile(Skill)'!O19, 検索用シート!$L$2:$M$14, 2, FALSE), ""))</f>
        <v>ATK</v>
      </c>
      <c r="P19">
        <f>IF('InputFile(Skill)'!P19="", "", IFERROR(VLOOKUP('InputFile(Skill)'!P19, 検索用シート!$G$6:$H$7, 2, FALSE), ""))</f>
        <v>-1</v>
      </c>
      <c r="Q19">
        <v>10</v>
      </c>
      <c r="R19">
        <v>0.2</v>
      </c>
      <c r="S19" t="s">
        <v>187</v>
      </c>
      <c r="V19" t="str">
        <f>VLOOKUP('InputFile(Skill)'!V19, 検索用シート!$A$9:$B$20, 2, FALSE)</f>
        <v>TargetPosition</v>
      </c>
    </row>
    <row r="20" spans="1:22" x14ac:dyDescent="0.45">
      <c r="A20">
        <v>19</v>
      </c>
      <c r="B20" t="s">
        <v>189</v>
      </c>
      <c r="C20" t="str">
        <f>VLOOKUP('InputFile(Skill)'!C20, 検索用シート!$A$2:$B$6, 2, FALSE)</f>
        <v>LookOn</v>
      </c>
      <c r="D20" t="str">
        <f>VLOOKUP('InputFile(Skill)'!D20, 検索用シート!$D$2:$E$5, 2, FALSE)</f>
        <v>Attack</v>
      </c>
      <c r="E20">
        <v>0.5</v>
      </c>
      <c r="F20">
        <v>20</v>
      </c>
      <c r="G20">
        <v>8</v>
      </c>
      <c r="H20">
        <v>0.6</v>
      </c>
      <c r="I20">
        <v>0</v>
      </c>
      <c r="J20">
        <f>VLOOKUP('InputFile(Skill)'!J20, 検索用シート!$G$2:$H$3, 2, FALSE)</f>
        <v>-1</v>
      </c>
      <c r="K20">
        <v>0</v>
      </c>
      <c r="L20" t="str">
        <f>検索用シート!$J$8 &amp; 'InputFile(Skill)'!L20</f>
        <v>Sprites/Icon/Fire</v>
      </c>
      <c r="M20" t="str">
        <f>検索用シート!$J$2 &amp; 'InputFile(Skill)'!M20</f>
        <v>Effect/Skill/Fire</v>
      </c>
      <c r="N20" t="s">
        <v>199</v>
      </c>
      <c r="O20" t="str">
        <f>IF('InputFile(Skill)'!O20="", "", IFERROR(VLOOKUP('InputFile(Skill)'!O20, 検索用シート!$L$2:$M$14, 2, FALSE), ""))</f>
        <v/>
      </c>
      <c r="P20" t="str">
        <f>IF('InputFile(Skill)'!P20="", "", IFERROR(VLOOKUP('InputFile(Skill)'!P20, 検索用シート!$G$6:$H$7, 2, FALSE), ""))</f>
        <v/>
      </c>
      <c r="S20" t="s">
        <v>191</v>
      </c>
      <c r="V20" t="str">
        <f>VLOOKUP('InputFile(Skill)'!V20, 検索用シート!$A$9:$B$20, 2, FALSE)</f>
        <v>Area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D11" sqref="D1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174</v>
      </c>
      <c r="L11" t="s">
        <v>66</v>
      </c>
      <c r="M11" t="s">
        <v>87</v>
      </c>
    </row>
    <row r="12" spans="1:13" x14ac:dyDescent="0.45">
      <c r="A12" t="s">
        <v>188</v>
      </c>
      <c r="B12" t="s">
        <v>153</v>
      </c>
      <c r="L12" t="s">
        <v>67</v>
      </c>
      <c r="M12" t="s">
        <v>88</v>
      </c>
    </row>
    <row r="13" spans="1:13" x14ac:dyDescent="0.45">
      <c r="A13" t="s">
        <v>166</v>
      </c>
      <c r="B13" t="s">
        <v>154</v>
      </c>
      <c r="L13" t="s">
        <v>68</v>
      </c>
      <c r="M13" t="s">
        <v>89</v>
      </c>
    </row>
    <row r="14" spans="1:13" x14ac:dyDescent="0.45">
      <c r="A14" t="s">
        <v>167</v>
      </c>
      <c r="B14" t="s">
        <v>155</v>
      </c>
    </row>
    <row r="15" spans="1:13" x14ac:dyDescent="0.45">
      <c r="A15" t="s">
        <v>168</v>
      </c>
      <c r="B15" t="s">
        <v>156</v>
      </c>
    </row>
    <row r="16" spans="1:13" x14ac:dyDescent="0.45">
      <c r="A16" t="s">
        <v>169</v>
      </c>
      <c r="B16" t="s">
        <v>157</v>
      </c>
    </row>
    <row r="17" spans="1:2" x14ac:dyDescent="0.45">
      <c r="A17" t="s">
        <v>170</v>
      </c>
      <c r="B17" t="s">
        <v>158</v>
      </c>
    </row>
    <row r="18" spans="1:2" x14ac:dyDescent="0.45">
      <c r="A18" t="s">
        <v>171</v>
      </c>
      <c r="B18" t="s">
        <v>159</v>
      </c>
    </row>
    <row r="19" spans="1:2" x14ac:dyDescent="0.45">
      <c r="A19" t="s">
        <v>172</v>
      </c>
      <c r="B19" t="s">
        <v>160</v>
      </c>
    </row>
    <row r="20" spans="1:2" x14ac:dyDescent="0.45">
      <c r="A20" t="s">
        <v>173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20"/>
  <sheetViews>
    <sheetView tabSelected="1" zoomScaleNormal="100" workbookViewId="0">
      <selection activeCell="E19" sqref="E19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N5" t="s">
        <v>210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179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177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N9" t="s">
        <v>201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N10" t="s">
        <v>201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N11" t="s">
        <v>201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N12" t="s">
        <v>193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2</v>
      </c>
      <c r="H14">
        <v>0</v>
      </c>
      <c r="I14">
        <v>17</v>
      </c>
      <c r="J14" t="s">
        <v>50</v>
      </c>
      <c r="K14">
        <v>0</v>
      </c>
      <c r="L14" t="s">
        <v>149</v>
      </c>
      <c r="M14" t="s">
        <v>149</v>
      </c>
      <c r="N14" t="s">
        <v>206</v>
      </c>
      <c r="S14" t="s">
        <v>138</v>
      </c>
      <c r="T14">
        <v>10</v>
      </c>
      <c r="U14">
        <v>-20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15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N15" t="s">
        <v>207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15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N16" t="s">
        <v>208</v>
      </c>
      <c r="S16" t="s">
        <v>146</v>
      </c>
      <c r="T16">
        <v>3</v>
      </c>
      <c r="U16">
        <v>15</v>
      </c>
      <c r="V16" t="s">
        <v>164</v>
      </c>
    </row>
    <row r="17" spans="1:22" x14ac:dyDescent="0.45">
      <c r="A17">
        <f>ROW()-1</f>
        <v>16</v>
      </c>
      <c r="B17" t="s">
        <v>176</v>
      </c>
      <c r="C17" t="s">
        <v>11</v>
      </c>
      <c r="D17" t="s">
        <v>21</v>
      </c>
      <c r="E17">
        <v>5</v>
      </c>
      <c r="F17">
        <v>10</v>
      </c>
      <c r="G17">
        <v>8</v>
      </c>
      <c r="H17">
        <v>0.5</v>
      </c>
      <c r="I17">
        <v>13</v>
      </c>
      <c r="J17" t="s">
        <v>50</v>
      </c>
      <c r="K17">
        <v>0</v>
      </c>
      <c r="L17" t="s">
        <v>183</v>
      </c>
      <c r="M17" t="s">
        <v>183</v>
      </c>
      <c r="N17" t="s">
        <v>209</v>
      </c>
      <c r="S17" t="s">
        <v>181</v>
      </c>
      <c r="V17" t="s">
        <v>169</v>
      </c>
    </row>
    <row r="18" spans="1:22" x14ac:dyDescent="0.45">
      <c r="A18">
        <f>ROW()-1</f>
        <v>17</v>
      </c>
      <c r="B18" t="s">
        <v>180</v>
      </c>
      <c r="C18" t="s">
        <v>12</v>
      </c>
      <c r="D18" t="s">
        <v>21</v>
      </c>
      <c r="E18">
        <v>3</v>
      </c>
      <c r="F18">
        <v>10</v>
      </c>
      <c r="G18">
        <v>8</v>
      </c>
      <c r="H18">
        <v>0.3</v>
      </c>
      <c r="I18">
        <v>10</v>
      </c>
      <c r="J18" t="s">
        <v>50</v>
      </c>
      <c r="K18">
        <v>0</v>
      </c>
      <c r="L18" t="s">
        <v>184</v>
      </c>
      <c r="M18" t="s">
        <v>184</v>
      </c>
      <c r="N18" t="s">
        <v>203</v>
      </c>
      <c r="S18" t="s">
        <v>178</v>
      </c>
      <c r="V18" t="s">
        <v>182</v>
      </c>
    </row>
    <row r="19" spans="1:22" x14ac:dyDescent="0.45">
      <c r="A19">
        <f>ROW()-1</f>
        <v>18</v>
      </c>
      <c r="B19" t="s">
        <v>185</v>
      </c>
      <c r="C19" t="s">
        <v>12</v>
      </c>
      <c r="D19" t="s">
        <v>21</v>
      </c>
      <c r="E19">
        <v>5</v>
      </c>
      <c r="F19">
        <v>10</v>
      </c>
      <c r="G19">
        <v>0</v>
      </c>
      <c r="H19">
        <v>0.3</v>
      </c>
      <c r="I19">
        <v>0</v>
      </c>
      <c r="J19" t="s">
        <v>50</v>
      </c>
      <c r="K19">
        <v>0</v>
      </c>
      <c r="L19" t="s">
        <v>186</v>
      </c>
      <c r="M19" t="s">
        <v>186</v>
      </c>
      <c r="N19" t="s">
        <v>204</v>
      </c>
      <c r="O19" t="s">
        <v>76</v>
      </c>
      <c r="P19" t="s">
        <v>73</v>
      </c>
      <c r="Q19">
        <v>10</v>
      </c>
      <c r="R19">
        <v>0.2</v>
      </c>
      <c r="S19" t="s">
        <v>187</v>
      </c>
      <c r="V19" t="s">
        <v>165</v>
      </c>
    </row>
    <row r="20" spans="1:22" x14ac:dyDescent="0.45">
      <c r="A20">
        <f>ROW()-1</f>
        <v>19</v>
      </c>
      <c r="B20" t="s">
        <v>189</v>
      </c>
      <c r="C20" t="s">
        <v>12</v>
      </c>
      <c r="D20" t="s">
        <v>21</v>
      </c>
      <c r="E20">
        <v>0.5</v>
      </c>
      <c r="F20">
        <v>20</v>
      </c>
      <c r="G20">
        <v>8</v>
      </c>
      <c r="H20">
        <v>0.6</v>
      </c>
      <c r="I20">
        <v>0</v>
      </c>
      <c r="J20" t="s">
        <v>50</v>
      </c>
      <c r="K20">
        <v>0</v>
      </c>
      <c r="L20" t="s">
        <v>190</v>
      </c>
      <c r="M20" t="s">
        <v>190</v>
      </c>
      <c r="N20" t="s">
        <v>205</v>
      </c>
      <c r="S20" t="s">
        <v>191</v>
      </c>
      <c r="V20" t="s">
        <v>188</v>
      </c>
    </row>
  </sheetData>
  <phoneticPr fontId="1"/>
  <dataValidations count="3">
    <dataValidation type="decimal" allowBlank="1" showInputMessage="1" showErrorMessage="1" sqref="E2:I20" xr:uid="{1DD7AC07-48F3-4158-AFAE-9A67E1197F38}">
      <formula1>0</formula1>
      <formula2>600</formula2>
    </dataValidation>
    <dataValidation type="whole" allowBlank="1" showInputMessage="1" showErrorMessage="1" sqref="K2:K20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24</xdr:row>
                    <xdr:rowOff>7620</xdr:rowOff>
                  </from>
                  <to>
                    <xdr:col>19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C2:C20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D2:D20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J2:J20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P2:P20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O2:O20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2026-10-26T03:24:05Z</dcterms:modified>
</cp:coreProperties>
</file>