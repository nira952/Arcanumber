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0D2C67AF-FCA4-4699-BC19-4375F80C1735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9" l="1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P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A18" i="1"/>
  <c r="A17" i="1"/>
  <c r="A16" i="1" l="1"/>
  <c r="A15" i="1"/>
  <c r="A14" i="1"/>
  <c r="A13" i="1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<sst xmlns="http://schemas.openxmlformats.org/spreadsheetml/2006/main" count="307" uniqueCount="184">
  <si>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</si>
  <si>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</si>
  <si>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</si>
  <si>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</si>
  <si>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</si>
  <si>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</si>
  <si>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</si>
  <si>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</si>
  <si>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</si>
  <si>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</si>
  <si>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</si>
  <si>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</si>
  <si>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</si>
  <si>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</si>
  <si>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</si>
  <si>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</si>
  <si>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</si>
  <si>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</si>
  <si>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</si>
  <si>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</si>
  <si>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</si>
  <si>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</si>
  <si>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</si>
  <si>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</si>
  <si>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</si>
  <si>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</si>
  <si>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</si>
  <si>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</si>
  <si>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</si>
  <si>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</si>
  <si>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</si>
  <si>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</si>
  <si>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</si>
  <si>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</si>
  <si>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</si>
  <si>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</si>
  <si>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</si>
  <si>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</si>
  <si>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</si>
  <si>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</si>
  <si>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</si>
  <si>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</si>
  <si>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</si>
  <si>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</si>
  <si>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</si>
  <si>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</si>
  <si>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</si>
  <si>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</si>
  <si>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</si>
  <si>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</si>
  <si>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</si>
  <si>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</si>
  <si>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</si>
  <si>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</si>
  <si>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</si>
  <si>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</si>
  <si>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</si>
  <si>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</si>
  <si>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</si>
  <si>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</si>
  <si>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</si>
  <si>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</si>
  <si>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</si>
  <si>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</si>
  <si>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</si>
  <si>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</si>
  <si>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</si>
  <si>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</si>
  <si>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</si>
  <si>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</si>
  <si>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</si>
  <si>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</si>
  <si>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</si>
  <si>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</si>
  <si>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</si>
  <si>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</si>
  <si>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</si>
  <si>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</si>
  <si>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</si>
  <si>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</si>
  <si>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</si>
  <si>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</si>
  <si>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</si>
  <si>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</si>
  <si>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</si>
  <si>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</si>
  <si>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</si>
  <si>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</si>
  <si>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</si>
  <si>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</si>
  <si>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</si>
  <si>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</si>
  <si>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</si>
  <si>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</si>
  <si>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DarkBall</t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</si>
  <si>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</si>
  <si>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</si>
  <si>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</si>
  <si>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</si>
  <si>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</si>
  <si>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</si>
  <si>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</si>
  <si>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</si>
  <si>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</si>
  <si>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</si>
  <si>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</si>
  <si>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</si>
  <si>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</si>
  <si>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</si>
  <si>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</si>
  <si>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</si>
  <si>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</si>
  <si>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</si>
  <si>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</si>
  <si>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</si>
  <si>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</si>
  <si>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</si>
  <si>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</si>
  <si>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</si>
  <si>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</si>
  <si>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</si>
  <si>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</si>
  <si>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</si>
  <si>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</si>
  <si>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</si>
  <si>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</si>
  <si>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</si>
  <si>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</si>
  <si>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</si>
  <si>
    <t>Spear</t>
  </si>
  <si>
    <t>Ice</t>
  </si>
  <si>
    <t>Shadow</t>
  </si>
  <si>
    <t>Poison</t>
  </si>
  <si>
    <t>Thunder</t>
  </si>
  <si>
    <t>Thunder</t>
    <phoneticPr fontId="1"/>
  </si>
  <si>
    <t>高いダメージを出す魔法</t>
    <rPh sb="0" eb="1">
      <t>タカ</t>
    </rPh>
    <rPh sb="7" eb="8">
      <t>ダ</t>
    </rPh>
    <rPh sb="9" eb="11">
      <t>マホウ</t>
    </rPh>
    <phoneticPr fontId="1"/>
  </si>
  <si>
    <t>ショットガン</t>
  </si>
  <si>
    <t>ショットガン</t>
    <phoneticPr fontId="1"/>
  </si>
  <si>
    <t>広い範囲に撃つ</t>
    <rPh sb="0" eb="1">
      <t>ヒロ</t>
    </rPh>
    <rPh sb="2" eb="4">
      <t>ハンイ</t>
    </rPh>
    <rPh sb="5" eb="6">
      <t>ウ</t>
    </rPh>
    <phoneticPr fontId="1"/>
  </si>
  <si>
    <t>スナイパー</t>
  </si>
  <si>
    <t>スナイパー</t>
    <phoneticPr fontId="1"/>
  </si>
  <si>
    <t>Sniper</t>
    <phoneticPr fontId="1"/>
  </si>
  <si>
    <t>早い弾を出す</t>
    <rPh sb="0" eb="1">
      <t>ハヤ</t>
    </rPh>
    <rPh sb="2" eb="3">
      <t>タマ</t>
    </rPh>
    <rPh sb="4" eb="5">
      <t>ダ</t>
    </rPh>
    <phoneticPr fontId="1"/>
  </si>
  <si>
    <t>ナイフ</t>
  </si>
  <si>
    <t>ナイフ</t>
    <phoneticPr fontId="1"/>
  </si>
  <si>
    <t>Knife</t>
    <phoneticPr fontId="1"/>
  </si>
  <si>
    <t>３方向にナイフを出す</t>
    <rPh sb="1" eb="3">
      <t>ホウコウ</t>
    </rPh>
    <rPh sb="8" eb="9">
      <t>ダ</t>
    </rPh>
    <phoneticPr fontId="1"/>
  </si>
  <si>
    <t>生成個数</t>
    <rPh sb="0" eb="4">
      <t>セイセイコスウ</t>
    </rPh>
    <phoneticPr fontId="1"/>
  </si>
  <si>
    <t>角度</t>
    <rPh sb="0" eb="2">
      <t>カクド</t>
    </rPh>
    <phoneticPr fontId="1"/>
  </si>
  <si>
    <t>Shotgun</t>
    <phoneticPr fontId="1"/>
  </si>
  <si>
    <t>挙動</t>
    <rPh sb="0" eb="2">
      <t>キョドウ</t>
    </rPh>
    <phoneticPr fontId="1"/>
  </si>
  <si>
    <t>None</t>
    <phoneticPr fontId="1"/>
  </si>
  <si>
    <t>Straight</t>
    <phoneticPr fontId="1"/>
  </si>
  <si>
    <t>Area</t>
    <phoneticPr fontId="1"/>
  </si>
  <si>
    <t>Stationary</t>
    <phoneticPr fontId="1"/>
  </si>
  <si>
    <t>Mine</t>
    <phoneticPr fontId="1"/>
  </si>
  <si>
    <t>Homing</t>
    <phoneticPr fontId="1"/>
  </si>
  <si>
    <t>Boomerang</t>
    <phoneticPr fontId="1"/>
  </si>
  <si>
    <t>Chain</t>
    <phoneticPr fontId="1"/>
  </si>
  <si>
    <t>Split</t>
    <phoneticPr fontId="1"/>
  </si>
  <si>
    <t>Orbit</t>
    <phoneticPr fontId="1"/>
  </si>
  <si>
    <t>Knockback</t>
    <phoneticPr fontId="1"/>
  </si>
  <si>
    <t>デフォルト</t>
  </si>
  <si>
    <t>デフォルト</t>
    <phoneticPr fontId="1"/>
  </si>
  <si>
    <t>直線</t>
    <rPh sb="0" eb="2">
      <t>チョクセン</t>
    </rPh>
    <phoneticPr fontId="1"/>
  </si>
  <si>
    <t>通常</t>
    <rPh sb="0" eb="2">
      <t>ツウジョウ</t>
    </rPh>
    <phoneticPr fontId="1"/>
  </si>
  <si>
    <t>範囲攻撃</t>
    <rPh sb="0" eb="4">
      <t>ハンイコウゲキ</t>
    </rPh>
    <phoneticPr fontId="1"/>
  </si>
  <si>
    <t>設置型</t>
    <rPh sb="0" eb="3">
      <t>セッチガタ</t>
    </rPh>
    <phoneticPr fontId="1"/>
  </si>
  <si>
    <t>地雷型</t>
    <rPh sb="0" eb="3">
      <t>ジライガタ</t>
    </rPh>
    <phoneticPr fontId="1"/>
  </si>
  <si>
    <t>ホーミング</t>
    <phoneticPr fontId="1"/>
  </si>
  <si>
    <t>戻ってくる</t>
    <rPh sb="0" eb="1">
      <t>モド</t>
    </rPh>
    <phoneticPr fontId="1"/>
  </si>
  <si>
    <t>連鎖型</t>
    <rPh sb="0" eb="3">
      <t>レンサガタ</t>
    </rPh>
    <phoneticPr fontId="1"/>
  </si>
  <si>
    <t>分裂型</t>
    <rPh sb="0" eb="3">
      <t>ブンレツガタ</t>
    </rPh>
    <phoneticPr fontId="1"/>
  </si>
  <si>
    <t>公転型</t>
    <rPh sb="0" eb="3">
      <t>コウテンガタ</t>
    </rPh>
    <phoneticPr fontId="1"/>
  </si>
  <si>
    <t>ノックバック</t>
    <phoneticPr fontId="1"/>
  </si>
  <si>
    <t>TargetPosition</t>
    <phoneticPr fontId="1"/>
  </si>
  <si>
    <t>雷魔法</t>
    <rPh sb="0" eb="1">
      <t>カミナリ</t>
    </rPh>
    <rPh sb="1" eb="3">
      <t>マホウ</t>
    </rPh>
    <phoneticPr fontId="1"/>
  </si>
  <si>
    <t>草魔法</t>
    <rPh sb="0" eb="3">
      <t>クサマホウ</t>
    </rPh>
    <phoneticPr fontId="1"/>
  </si>
  <si>
    <t>トゥネブラ</t>
  </si>
  <si>
    <t>トゥネブラ</t>
    <phoneticPr fontId="1"/>
  </si>
  <si>
    <t>防御力を下げる闇魔法</t>
    <rPh sb="0" eb="3">
      <t>ボウギョリョク</t>
    </rPh>
    <rPh sb="4" eb="5">
      <t>サ</t>
    </rPh>
    <rPh sb="7" eb="8">
      <t>ヤミ</t>
    </rPh>
    <rPh sb="8" eb="10">
      <t>マホウ</t>
    </rPh>
    <phoneticPr fontId="1"/>
  </si>
  <si>
    <t>シャッテン</t>
  </si>
  <si>
    <t>シャッテン</t>
    <phoneticPr fontId="1"/>
  </si>
  <si>
    <t>敵を追尾する闇魔法</t>
    <rPh sb="0" eb="1">
      <t>テキ</t>
    </rPh>
    <rPh sb="2" eb="4">
      <t>ツイビ</t>
    </rPh>
    <rPh sb="6" eb="7">
      <t>ヤミ</t>
    </rPh>
    <rPh sb="7" eb="9">
      <t>マホウ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</si>
</sst>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22</xdr:row>
          <xdr:rowOff>7620</xdr:rowOff>
        </xdr:from>
        <xdr:to>
          <xdr:col>19</xdr:col>
          <xdr:colOff>7620</xdr:colOff>
          <xdr:row>24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EA27724-55B1-4221-A4AA-70A04C79CBAE}" name="OutputTable" displayName="OutputTable" ref="A1:V18" totalsRowShown="0">
  <autoFilter ref="A1:V18" xr:uid="{06A11E6E-BBCE-4508-A454-299E49C9FF41}"/>
  <tableColumns count="22">
    <tableColumn id="1" xr3:uid="{46611850-02CC-429B-A5CC-BBA37242218E}" name="No"/>
    <tableColumn id="2" xr3:uid="{BAFB7AD3-C5B4-49BC-99E6-CD7E1478397A}" name="名前"/>
    <tableColumn id="3" xr3:uid="{FD46F7D0-A02E-4D31-998E-03E274DE9428}" name="ターゲット方法">
      <calculatedColumnFormula>VLOOKUP('InputFile(Skill)'!C2, 検索用シート!$A$2:$B$6, 2, FALSE)</calculatedColumnFormula>
    </tableColumn>
    <tableColumn id="4" xr3:uid="{768454E2-75D6-4BA3-9531-1F7DD8483B92}" name="攻撃方法">
      <calculatedColumnFormula>VLOOKUP('InputFile(Skill)'!D2, 検索用シート!$D$2:$E$5, 2, FALSE)</calculatedColumnFormula>
    </tableColumn>
    <tableColumn id="5" xr3:uid="{4703B802-16A3-4C80-92FD-0181EF358EC1}" name="値"/>
    <tableColumn id="6" xr3:uid="{5B73E7C6-4B11-4215-A63B-0BDDAAAC5FB7}" name="クールタイム"/>
    <tableColumn id="7" xr3:uid="{A30E0B13-9D73-486F-A0B3-512523EB8495}" name="持続時間"/>
    <tableColumn id="8" xr3:uid="{D1C2165D-745D-4DF0-BFF4-244D4F8574BA}" name="予備動作時間"/>
    <tableColumn id="9" xr3:uid="{EC24F9F7-4595-4C6A-986E-087AF52D9A75}" name="移動速度"/>
    <tableColumn id="10" xr3:uid="{87917F35-6F16-4DC0-831E-9AC9E0F46B62}" name="貫通">
      <calculatedColumnFormula>VLOOKUP('InputFile(Skill)'!J2, 検索用シート!$G$2:$H$3, 2, FALSE)</calculatedColumnFormula>
    </tableColumn>
    <tableColumn id="11" xr3:uid="{26C55284-14A1-448C-B544-D7C004EC8179}" name="反射回数"/>
    <tableColumn id="12" xr3:uid="{78E2EFAB-F620-4086-8A0D-0540D761F455}" name="画像パス">
      <calculatedColumnFormula>検索用シート!$J$8 &amp; 'InputFile(Skill)'!L2</calculatedColumnFormula>
    </tableColumn>
    <tableColumn id="13" xr3:uid="{56579895-8266-46ED-8107-FB95DC7724C3}" name="スキルオブジェクト">
      <calculatedColumnFormula>検索用シート!$J$2 &amp; 'InputFile(Skill)'!M2</calculatedColumnFormula>
    </tableColumn>
    <tableColumn id="14" xr3:uid="{16F5979A-470A-4906-8236-F7B19BE3ABAF}" name="効果音"/>
    <tableColumn id="15" xr3:uid="{241C2ED2-8751-4D34-91E8-053C3510B815}" name="付与するエフェクト">
      <calculatedColumnFormula>IF('InputFile(Skill)'!O2="", "", IFERROR(VLOOKUP('InputFile(Skill)'!O2, 検索用シート!$L$2:$M$14, 2, FALSE), ""))</calculatedColumnFormula>
    </tableColumn>
    <tableColumn id="16" xr3:uid="{DFE3288C-3CC5-426D-83FD-3453B1E2457F}" name="バフか">
      <calculatedColumnFormula>IF('InputFile(Skill)'!P2="", "", IFERROR(VLOOKUP('InputFile(Skill)'!P2, 検索用シート!$G$6:$H$7, 2, FALSE), ""))</calculatedColumnFormula>
    </tableColumn>
    <tableColumn id="17" xr3:uid="{A43FABF5-A0EE-4708-B974-7436C0FBBDAC}" name="エフェクト持続時間"/>
    <tableColumn id="18" xr3:uid="{ED756CF7-E864-43C6-911E-991EB5821A0F}" name="エフェクト数値"/>
    <tableColumn id="19" xr3:uid="{8A3015FC-4021-4F69-B405-4DB2D4F4DAC3}" name="説明"/>
    <tableColumn id="20" xr3:uid="{957DE3E5-1FAE-402D-AEA4-BEF996780FF6}" name="生成個数"/>
    <tableColumn id="21" xr3:uid="{DCA968FB-A757-4A2A-9811-17911BE421A6}" name="角度"/>
    <tableColumn id="22" xr3:uid="{90C7E39C-66C6-4536-8FB0-A79CA205618D}" name="挙動">
      <calculatedColumnFormula>VLOOKUP('InputFile(Skill)'!V2, 検索用シート!$A$9:$B$20, 2, 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V18" totalsRowShown="0">
  <autoFilter ref="A1:V18" xr:uid="{1F6AF440-C034-4897-9253-FD1BE22FEFC7}"/>
  <tableColumns count="22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  <tableColumn id="20" xr3:uid="{6108AE96-EBD2-426E-B1FC-186294A106F0}" name="生成個数"/>
    <tableColumn id="21" xr3:uid="{B4E92BC2-DA90-44B0-888E-7C5EDD4ABDAB}" name="角度"/>
    <tableColumn id="22" xr3:uid="{5745DB12-2E37-443F-820C-287489D6C092}" name="挙動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V18"/>
  <sheetViews>
    <sheetView topLeftCell="M1" workbookViewId="0">
      <selection sqref="A1:V18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9.796875" customWidth="1"/>
    <col min="22" max="22" width="13.3984375" bestFit="1" customWidth="1"/>
  </cols>
  <sheetData>
    <row r="1" spans="1:22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15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">
        <v>129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  <c r="V2" t="str">
        <f>VLOOKUP('InputFile(Skill)'!V2, 検索用シート!$A$9:$B$20, 2, FALSE)</f>
        <v>Straight</v>
      </c>
    </row>
    <row r="3" spans="1:22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">
        <v>129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  <c r="V3" t="str">
        <f>VLOOKUP('InputFile(Skill)'!V3, 検索用シート!$A$9:$B$20, 2, FALSE)</f>
        <v>Straight</v>
      </c>
    </row>
    <row r="4" spans="1:22" x14ac:dyDescent="0.45">
      <c r="A4">
        <v>3</v>
      </c>
      <c r="B4" t="s">
        <v>117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5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">
        <v>129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119</v>
      </c>
      <c r="V4" t="str">
        <f>VLOOKUP('InputFile(Skill)'!V4, 検索用シート!$A$9:$B$20, 2, FALSE)</f>
        <v>Straight</v>
      </c>
    </row>
    <row r="5" spans="1:22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  <c r="V5" t="str">
        <f>VLOOKUP('InputFile(Skill)'!V5, 検索用シート!$A$9:$B$20, 2, FALSE)</f>
        <v>TargetPosition</v>
      </c>
    </row>
    <row r="6" spans="1:22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">
        <v>130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  <c r="V6" t="str">
        <f>VLOOKUP('InputFile(Skill)'!V6, 検索用シート!$A$9:$B$20, 2, FALSE)</f>
        <v>TargetPosition</v>
      </c>
    </row>
    <row r="7" spans="1:22" x14ac:dyDescent="0.45">
      <c r="A7">
        <v>6</v>
      </c>
      <c r="B7" t="s">
        <v>178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">
        <v>131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180</v>
      </c>
      <c r="V7" t="str">
        <f>VLOOKUP('InputFile(Skill)'!V7, 検索用シート!$A$9:$B$20, 2, FALSE)</f>
        <v>TargetPosition</v>
      </c>
    </row>
    <row r="8" spans="1:22" x14ac:dyDescent="0.45">
      <c r="A8">
        <v>7</v>
      </c>
      <c r="B8" t="s">
        <v>95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">
        <v>132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97</v>
      </c>
      <c r="V8" t="str">
        <f>VLOOKUP('InputFile(Skill)'!V8, 検索用シート!$A$9:$B$20, 2, FALSE)</f>
        <v>TargetPosition</v>
      </c>
    </row>
    <row r="9" spans="1:22" x14ac:dyDescent="0.45">
      <c r="A9">
        <v>8</v>
      </c>
      <c r="B9" t="s">
        <v>98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101</v>
      </c>
      <c r="V9" t="str">
        <f>VLOOKUP('InputFile(Skill)'!V9, 検索用シート!$A$9:$B$20, 2, FALSE)</f>
        <v>None</v>
      </c>
    </row>
    <row r="10" spans="1:22" x14ac:dyDescent="0.45">
      <c r="A10">
        <v>9</v>
      </c>
      <c r="B10" t="s">
        <v>105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107</v>
      </c>
      <c r="V10" t="str">
        <f>VLOOKUP('InputFile(Skill)'!V10, 検索用シート!$A$9:$B$20, 2, FALSE)</f>
        <v>None</v>
      </c>
    </row>
    <row r="11" spans="1:22" x14ac:dyDescent="0.45">
      <c r="A11">
        <v>10</v>
      </c>
      <c r="B11" t="s">
        <v>108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109</v>
      </c>
      <c r="V11" t="str">
        <f>VLOOKUP('InputFile(Skill)'!V11, 検索用シート!$A$9:$B$20, 2, FALSE)</f>
        <v>None</v>
      </c>
    </row>
    <row r="12" spans="1:22" x14ac:dyDescent="0.45">
      <c r="A12">
        <v>11</v>
      </c>
      <c r="B12" t="s">
        <v>112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115</v>
      </c>
      <c r="V12" t="str">
        <f>VLOOKUP('InputFile(Skill)'!V12, 検索用シート!$A$9:$B$20, 2, FALSE)</f>
        <v>None</v>
      </c>
    </row>
    <row r="13" spans="1:22" x14ac:dyDescent="0.45">
      <c r="A13">
        <v>12</v>
      </c>
      <c r="B13" t="s">
        <v>176</v>
      </c>
      <c r="C13" t="str">
        <f>VLOOKUP('InputFile(Skill)'!C13, 検索用シート!$A$2:$B$6, 2, FALSE)</f>
        <v>LookOn</v>
      </c>
      <c r="D13" t="str">
        <f>VLOOKUP('InputFile(Skill)'!D13, 検索用シート!$D$2:$E$5, 2, FALSE)</f>
        <v>Attack</v>
      </c>
      <c r="E13">
        <v>10</v>
      </c>
      <c r="F13">
        <v>10</v>
      </c>
      <c r="G13">
        <v>0</v>
      </c>
      <c r="H13">
        <v>0.8</v>
      </c>
      <c r="I13">
        <v>0</v>
      </c>
      <c r="J13">
        <f>VLOOKUP('InputFile(Skill)'!J13, 検索用シート!$G$2:$H$3, 2, FALSE)</f>
        <v>-1</v>
      </c>
      <c r="K13">
        <v>0</v>
      </c>
      <c r="L13" t="str">
        <f>検索用シート!$J$8 &amp; 'InputFile(Skill)'!L13</f>
        <v>Sprites/Icon/Thunder</v>
      </c>
      <c r="M13" t="str">
        <f>検索用シート!$J$2 &amp; 'InputFile(Skill)'!M13</f>
        <v>Effect/Skill/Thunder</v>
      </c>
      <c r="N13" t="s">
        <v>133</v>
      </c>
      <c r="O13" t="str">
        <f>IF('InputFile(Skill)'!O13="", "", IFERROR(VLOOKUP('InputFile(Skill)'!O13, 検索用シート!$L$2:$M$14, 2, FALSE), ""))</f>
        <v/>
      </c>
      <c r="P13" t="str">
        <f>IF('InputFile(Skill)'!P13="", "", IFERROR(VLOOKUP('InputFile(Skill)'!P13, 検索用シート!$G$6:$H$7, 2, FALSE), ""))</f>
        <v/>
      </c>
      <c r="S13" t="s">
        <v>135</v>
      </c>
      <c r="V13" t="str">
        <f>VLOOKUP('InputFile(Skill)'!V13, 検索用シート!$A$9:$B$20, 2, FALSE)</f>
        <v>TargetPosition</v>
      </c>
    </row>
    <row r="14" spans="1:22" x14ac:dyDescent="0.45">
      <c r="A14">
        <v>13</v>
      </c>
      <c r="B14" t="s">
        <v>136</v>
      </c>
      <c r="C14" t="str">
        <f>VLOOKUP('InputFile(Skill)'!C14, 検索用シート!$A$2:$B$6, 2, FALSE)</f>
        <v>Direction</v>
      </c>
      <c r="D14" t="str">
        <f>VLOOKUP('InputFile(Skill)'!D14, 検索用シート!$D$2:$E$5, 2, FALSE)</f>
        <v>Attack</v>
      </c>
      <c r="E14">
        <v>1</v>
      </c>
      <c r="F14">
        <v>10</v>
      </c>
      <c r="G14">
        <v>0</v>
      </c>
      <c r="H14">
        <v>0</v>
      </c>
      <c r="I14">
        <v>20</v>
      </c>
      <c r="J14">
        <f>VLOOKUP('InputFile(Skill)'!J14, 検索用シート!$G$2:$H$3, 2, FALSE)</f>
        <v>-1</v>
      </c>
      <c r="K14">
        <v>0</v>
      </c>
      <c r="L14" t="str">
        <f>検索用シート!$J$8 &amp; 'InputFile(Skill)'!L14</f>
        <v>Sprites/Icon/Shotgun</v>
      </c>
      <c r="M14" t="str">
        <f>検索用シート!$J$2 &amp; 'InputFile(Skill)'!M14</f>
        <v>Effect/Skill/Shotgun</v>
      </c>
      <c r="O14" t="str">
        <f>IF('InputFile(Skill)'!O14="", "", IFERROR(VLOOKUP('InputFile(Skill)'!O14, 検索用シート!$L$2:$M$14, 2, FALSE), ""))</f>
        <v/>
      </c>
      <c r="P14" t="str">
        <f>IF('InputFile(Skill)'!P14="", "", IFERROR(VLOOKUP('InputFile(Skill)'!P14, 検索用シート!$G$6:$H$7, 2, FALSE), ""))</f>
        <v/>
      </c>
      <c r="S14" t="s">
        <v>138</v>
      </c>
      <c r="T14">
        <v>10</v>
      </c>
      <c r="U14">
        <v>60</v>
      </c>
      <c r="V14" t="str">
        <f>VLOOKUP('InputFile(Skill)'!V14, 検索用シート!$A$9:$B$20, 2, FALSE)</f>
        <v>Straight</v>
      </c>
    </row>
    <row r="15" spans="1:22" x14ac:dyDescent="0.45">
      <c r="A15">
        <v>14</v>
      </c>
      <c r="B15" t="s">
        <v>139</v>
      </c>
      <c r="C15" t="str">
        <f>VLOOKUP('InputFile(Skill)'!C15, 検索用シート!$A$2:$B$6, 2, FALSE)</f>
        <v>Direction</v>
      </c>
      <c r="D15" t="str">
        <f>VLOOKUP('InputFile(Skill)'!D15, 検索用シート!$D$2:$E$5, 2, FALSE)</f>
        <v>Attack</v>
      </c>
      <c r="E15">
        <v>8</v>
      </c>
      <c r="F15">
        <v>15</v>
      </c>
      <c r="G15">
        <v>0</v>
      </c>
      <c r="H15">
        <v>0.3</v>
      </c>
      <c r="I15">
        <v>30</v>
      </c>
      <c r="J15">
        <f>VLOOKUP('InputFile(Skill)'!J15, 検索用シート!$G$2:$H$3, 2, FALSE)</f>
        <v>-1</v>
      </c>
      <c r="K15">
        <v>0</v>
      </c>
      <c r="L15" t="str">
        <f>検索用シート!$J$8 &amp; 'InputFile(Skill)'!L15</f>
        <v>Sprites/Icon/Sniper</v>
      </c>
      <c r="M15" t="str">
        <f>検索用シート!$J$2 &amp; 'InputFile(Skill)'!M15</f>
        <v>Effect/Skill/Sniper</v>
      </c>
      <c r="O15" t="str">
        <f>IF('InputFile(Skill)'!O15="", "", IFERROR(VLOOKUP('InputFile(Skill)'!O15, 検索用シート!$L$2:$M$14, 2, FALSE), ""))</f>
        <v/>
      </c>
      <c r="P15" t="str">
        <f>IF('InputFile(Skill)'!P15="", "", IFERROR(VLOOKUP('InputFile(Skill)'!P15, 検索用シート!$G$6:$H$7, 2, FALSE), ""))</f>
        <v/>
      </c>
      <c r="S15" t="s">
        <v>142</v>
      </c>
      <c r="V15" t="str">
        <f>VLOOKUP('InputFile(Skill)'!V15, 検索用シート!$A$9:$B$20, 2, FALSE)</f>
        <v>Straight</v>
      </c>
    </row>
    <row r="16" spans="1:22" x14ac:dyDescent="0.45">
      <c r="A16">
        <v>15</v>
      </c>
      <c r="B16" t="s">
        <v>143</v>
      </c>
      <c r="C16" t="str">
        <f>VLOOKUP('InputFile(Skill)'!C16, 検索用シート!$A$2:$B$6, 2, FALSE)</f>
        <v>Direction</v>
      </c>
      <c r="D16" t="str">
        <f>VLOOKUP('InputFile(Skill)'!D16, 検索用シート!$D$2:$E$5, 2, FALSE)</f>
        <v>Attack</v>
      </c>
      <c r="E16">
        <v>3</v>
      </c>
      <c r="F16">
        <v>10</v>
      </c>
      <c r="G16">
        <v>0</v>
      </c>
      <c r="H16">
        <v>0.2</v>
      </c>
      <c r="I16">
        <v>15</v>
      </c>
      <c r="J16">
        <f>VLOOKUP('InputFile(Skill)'!J16, 検索用シート!$G$2:$H$3, 2, FALSE)</f>
        <v>-1</v>
      </c>
      <c r="K16">
        <v>2</v>
      </c>
      <c r="L16" t="str">
        <f>検索用シート!$J$8 &amp; 'InputFile(Skill)'!L16</f>
        <v>Sprites/Icon/Knife</v>
      </c>
      <c r="M16" t="str">
        <f>検索用シート!$J$2 &amp; 'InputFile(Skill)'!M16</f>
        <v>Effect/Skill/Knife</v>
      </c>
      <c r="O16" t="str">
        <f>IF('InputFile(Skill)'!O16="", "", IFERROR(VLOOKUP('InputFile(Skill)'!O16, 検索用シート!$L$2:$M$14, 2, FALSE), ""))</f>
        <v/>
      </c>
      <c r="P16" t="str">
        <f>IF('InputFile(Skill)'!P16="", "", IFERROR(VLOOKUP('InputFile(Skill)'!P16, 検索用シート!$G$6:$H$7, 2, FALSE), ""))</f>
        <v/>
      </c>
      <c r="S16" t="s">
        <v>146</v>
      </c>
      <c r="T16">
        <v>3</v>
      </c>
      <c r="U16">
        <v>15</v>
      </c>
      <c r="V16" t="str">
        <f>VLOOKUP('InputFile(Skill)'!V16, 検索用シート!$A$9:$B$20, 2, FALSE)</f>
        <v>Straight</v>
      </c>
    </row>
    <row r="17" spans="1:22" x14ac:dyDescent="0.45">
      <c r="A17">
        <v>16</v>
      </c>
      <c r="B17" t="s">
        <v>177</v>
      </c>
      <c r="C17" t="e">
        <f>VLOOKUP('InputFile(Skill)'!C17, 検索用シート!$A$2:$B$6, 2, FALSE)</f>
        <v>#N/A</v>
      </c>
      <c r="D17" t="e">
        <f>VLOOKUP('InputFile(Skill)'!D17, 検索用シート!$D$2:$E$5, 2, FALSE)</f>
        <v>#N/A</v>
      </c>
      <c r="J17" t="e">
        <f>VLOOKUP('InputFile(Skill)'!J17, 検索用シート!$G$2:$H$3, 2, FALSE)</f>
        <v>#N/A</v>
      </c>
      <c r="L17" t="str">
        <f>検索用シート!$J$8 &amp; 'InputFile(Skill)'!L17</f>
        <v>Sprites/Icon/</v>
      </c>
      <c r="M17" t="str">
        <f>検索用シート!$J$2 &amp; 'InputFile(Skill)'!M17</f>
        <v>Effect/Skill/</v>
      </c>
      <c r="O17" t="str">
        <f>IF('InputFile(Skill)'!O17="", "", IFERROR(VLOOKUP('InputFile(Skill)'!O17, 検索用シート!$L$2:$M$14, 2, FALSE), ""))</f>
        <v/>
      </c>
      <c r="P17" t="str">
        <f>IF('InputFile(Skill)'!P17="", "", IFERROR(VLOOKUP('InputFile(Skill)'!P17, 検索用シート!$G$6:$H$7, 2, FALSE), ""))</f>
        <v/>
      </c>
      <c r="V17" t="e">
        <f>VLOOKUP('InputFile(Skill)'!V17, 検索用シート!$A$9:$B$20, 2, FALSE)</f>
        <v>#N/A</v>
      </c>
    </row>
    <row r="18" spans="1:22" x14ac:dyDescent="0.45">
      <c r="A18">
        <v>17</v>
      </c>
      <c r="B18" t="s">
        <v>181</v>
      </c>
      <c r="C18" t="e">
        <f>VLOOKUP('InputFile(Skill)'!C18, 検索用シート!$A$2:$B$6, 2, FALSE)</f>
        <v>#N/A</v>
      </c>
      <c r="D18" t="e">
        <f>VLOOKUP('InputFile(Skill)'!D18, 検索用シート!$D$2:$E$5, 2, FALSE)</f>
        <v>#N/A</v>
      </c>
      <c r="J18" t="e">
        <f>VLOOKUP('InputFile(Skill)'!J18, 検索用シート!$G$2:$H$3, 2, FALSE)</f>
        <v>#N/A</v>
      </c>
      <c r="L18" t="str">
        <f>検索用シート!$J$8 &amp; 'InputFile(Skill)'!L18</f>
        <v>Sprites/Icon/</v>
      </c>
      <c r="M18" t="str">
        <f>検索用シート!$J$2 &amp; 'InputFile(Skill)'!M18</f>
        <v>Effect/Skill/</v>
      </c>
      <c r="O18" t="str">
        <f>IF('InputFile(Skill)'!O18="", "", IFERROR(VLOOKUP('InputFile(Skill)'!O18, 検索用シート!$L$2:$M$14, 2, FALSE), ""))</f>
        <v/>
      </c>
      <c r="P18" t="str">
        <f>IF('InputFile(Skill)'!P18="", "", IFERROR(VLOOKUP('InputFile(Skill)'!P18, 検索用シート!$G$6:$H$7, 2, FALSE), ""))</f>
        <v/>
      </c>
      <c r="S18" t="s">
        <v>183</v>
      </c>
      <c r="V18" t="e">
        <f>VLOOKUP('InputFile(Skill)'!V18, 検索用シート!$A$9:$B$20, 2, FALSE)</f>
        <v>#N/A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20"/>
  <sheetViews>
    <sheetView topLeftCell="A2" workbookViewId="0">
      <selection activeCell="B12" sqref="B12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A9" t="s">
        <v>163</v>
      </c>
      <c r="B9" t="s">
        <v>151</v>
      </c>
      <c r="L9" t="s">
        <v>64</v>
      </c>
      <c r="M9" t="s">
        <v>85</v>
      </c>
    </row>
    <row r="10" spans="1:13" x14ac:dyDescent="0.45">
      <c r="A10" t="s">
        <v>164</v>
      </c>
      <c r="B10" t="s">
        <v>152</v>
      </c>
      <c r="L10" t="s">
        <v>65</v>
      </c>
      <c r="M10" t="s">
        <v>86</v>
      </c>
    </row>
    <row r="11" spans="1:13" x14ac:dyDescent="0.45">
      <c r="A11" t="s">
        <v>165</v>
      </c>
      <c r="B11" t="s">
        <v>175</v>
      </c>
      <c r="L11" t="s">
        <v>66</v>
      </c>
      <c r="M11" t="s">
        <v>87</v>
      </c>
    </row>
    <row r="12" spans="1:13" x14ac:dyDescent="0.45">
      <c r="A12" t="s">
        <v>166</v>
      </c>
      <c r="B12" t="s">
        <v>153</v>
      </c>
      <c r="L12" t="s">
        <v>67</v>
      </c>
      <c r="M12" t="s">
        <v>88</v>
      </c>
    </row>
    <row r="13" spans="1:13" x14ac:dyDescent="0.45">
      <c r="A13" t="s">
        <v>167</v>
      </c>
      <c r="B13" t="s">
        <v>154</v>
      </c>
      <c r="L13" t="s">
        <v>68</v>
      </c>
      <c r="M13" t="s">
        <v>89</v>
      </c>
    </row>
    <row r="14" spans="1:13" x14ac:dyDescent="0.45">
      <c r="A14" t="s">
        <v>168</v>
      </c>
      <c r="B14" t="s">
        <v>155</v>
      </c>
    </row>
    <row r="15" spans="1:13" x14ac:dyDescent="0.45">
      <c r="A15" t="s">
        <v>169</v>
      </c>
      <c r="B15" t="s">
        <v>156</v>
      </c>
    </row>
    <row r="16" spans="1:13" x14ac:dyDescent="0.45">
      <c r="A16" t="s">
        <v>170</v>
      </c>
      <c r="B16" t="s">
        <v>157</v>
      </c>
    </row>
    <row r="17" spans="1:2" x14ac:dyDescent="0.45">
      <c r="A17" t="s">
        <v>171</v>
      </c>
      <c r="B17" t="s">
        <v>158</v>
      </c>
    </row>
    <row r="18" spans="1:2" x14ac:dyDescent="0.45">
      <c r="A18" t="s">
        <v>172</v>
      </c>
      <c r="B18" t="s">
        <v>159</v>
      </c>
    </row>
    <row r="19" spans="1:2" x14ac:dyDescent="0.45">
      <c r="A19" t="s">
        <v>173</v>
      </c>
      <c r="B19" t="s">
        <v>160</v>
      </c>
    </row>
    <row r="20" spans="1:2" x14ac:dyDescent="0.45">
      <c r="A20" t="s">
        <v>174</v>
      </c>
      <c r="B20" t="s">
        <v>161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V18"/>
  <sheetViews>
    <sheetView tabSelected="1" workbookViewId="0">
      <selection activeCell="K20" sqref="K20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0.59765625" bestFit="1" customWidth="1"/>
    <col min="22" max="22" width="10.296875" bestFit="1" customWidth="1"/>
  </cols>
  <sheetData>
    <row r="1" spans="1:2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15</v>
      </c>
      <c r="J2" t="s">
        <v>31</v>
      </c>
      <c r="K2">
        <v>0</v>
      </c>
      <c r="L2" t="s">
        <v>124</v>
      </c>
      <c r="M2" t="s">
        <v>53</v>
      </c>
      <c r="N2" t="s">
        <v>125</v>
      </c>
      <c r="S2" t="s">
        <v>42</v>
      </c>
      <c r="V2" t="s">
        <v>164</v>
      </c>
    </row>
    <row r="3" spans="1:22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123</v>
      </c>
      <c r="M3" t="s">
        <v>51</v>
      </c>
      <c r="N3" t="s">
        <v>125</v>
      </c>
      <c r="O3" t="s">
        <v>78</v>
      </c>
      <c r="P3" t="s">
        <v>73</v>
      </c>
      <c r="Q3">
        <v>5</v>
      </c>
      <c r="R3">
        <v>0.2</v>
      </c>
      <c r="S3" t="s">
        <v>52</v>
      </c>
      <c r="V3" t="s">
        <v>164</v>
      </c>
    </row>
    <row r="4" spans="1:22" x14ac:dyDescent="0.45">
      <c r="A4">
        <f>ROW()-1</f>
        <v>3</v>
      </c>
      <c r="B4" t="s">
        <v>117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5</v>
      </c>
      <c r="L4" t="s">
        <v>120</v>
      </c>
      <c r="M4" t="s">
        <v>118</v>
      </c>
      <c r="N4" t="s">
        <v>125</v>
      </c>
      <c r="S4" t="s">
        <v>119</v>
      </c>
      <c r="V4" t="s">
        <v>164</v>
      </c>
    </row>
    <row r="5" spans="1:22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121</v>
      </c>
      <c r="M5" t="s">
        <v>55</v>
      </c>
      <c r="S5" t="s">
        <v>56</v>
      </c>
      <c r="V5" t="s">
        <v>165</v>
      </c>
    </row>
    <row r="6" spans="1:22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102</v>
      </c>
      <c r="M6" t="s">
        <v>91</v>
      </c>
      <c r="N6" t="s">
        <v>126</v>
      </c>
      <c r="O6" t="s">
        <v>92</v>
      </c>
      <c r="P6" t="s">
        <v>73</v>
      </c>
      <c r="Q6">
        <v>3</v>
      </c>
      <c r="R6">
        <v>0</v>
      </c>
      <c r="S6" t="s">
        <v>93</v>
      </c>
      <c r="V6" t="s">
        <v>165</v>
      </c>
    </row>
    <row r="7" spans="1:22" x14ac:dyDescent="0.45">
      <c r="A7">
        <f t="shared" si="0"/>
        <v>6</v>
      </c>
      <c r="B7" t="s">
        <v>179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103</v>
      </c>
      <c r="M7" t="s">
        <v>94</v>
      </c>
      <c r="N7" t="s">
        <v>127</v>
      </c>
      <c r="O7" t="s">
        <v>77</v>
      </c>
      <c r="P7" t="s">
        <v>73</v>
      </c>
      <c r="Q7">
        <v>10</v>
      </c>
      <c r="R7">
        <v>0.1</v>
      </c>
      <c r="S7" t="s">
        <v>180</v>
      </c>
      <c r="V7" t="s">
        <v>165</v>
      </c>
    </row>
    <row r="8" spans="1:22" x14ac:dyDescent="0.45">
      <c r="A8">
        <f t="shared" si="0"/>
        <v>7</v>
      </c>
      <c r="B8" t="s">
        <v>95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122</v>
      </c>
      <c r="M8" t="s">
        <v>96</v>
      </c>
      <c r="N8" t="s">
        <v>128</v>
      </c>
      <c r="O8" t="s">
        <v>60</v>
      </c>
      <c r="P8" t="s">
        <v>73</v>
      </c>
      <c r="Q8">
        <v>10</v>
      </c>
      <c r="R8">
        <v>2</v>
      </c>
      <c r="S8" t="s">
        <v>97</v>
      </c>
      <c r="V8" t="s">
        <v>165</v>
      </c>
    </row>
    <row r="9" spans="1:22" x14ac:dyDescent="0.45">
      <c r="A9">
        <f t="shared" si="0"/>
        <v>8</v>
      </c>
      <c r="B9" t="s">
        <v>98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104</v>
      </c>
      <c r="M9" t="s">
        <v>99</v>
      </c>
      <c r="O9" t="s">
        <v>76</v>
      </c>
      <c r="P9" t="s">
        <v>100</v>
      </c>
      <c r="Q9">
        <v>10</v>
      </c>
      <c r="R9">
        <v>1.2</v>
      </c>
      <c r="S9" t="s">
        <v>101</v>
      </c>
      <c r="V9" t="s">
        <v>162</v>
      </c>
    </row>
    <row r="10" spans="1:22" x14ac:dyDescent="0.45">
      <c r="A10">
        <f t="shared" ref="A10:A16" si="1">ROW()-1</f>
        <v>9</v>
      </c>
      <c r="B10" t="s">
        <v>105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106</v>
      </c>
      <c r="M10" t="s">
        <v>116</v>
      </c>
      <c r="O10" t="s">
        <v>77</v>
      </c>
      <c r="P10" t="s">
        <v>100</v>
      </c>
      <c r="Q10">
        <v>10</v>
      </c>
      <c r="R10">
        <v>1.5</v>
      </c>
      <c r="S10" t="s">
        <v>107</v>
      </c>
      <c r="V10" t="s">
        <v>162</v>
      </c>
    </row>
    <row r="11" spans="1:22" x14ac:dyDescent="0.45">
      <c r="A11">
        <f t="shared" si="1"/>
        <v>10</v>
      </c>
      <c r="B11" t="s">
        <v>108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110</v>
      </c>
      <c r="M11" t="s">
        <v>111</v>
      </c>
      <c r="O11" t="s">
        <v>78</v>
      </c>
      <c r="P11" t="s">
        <v>100</v>
      </c>
      <c r="Q11">
        <v>10</v>
      </c>
      <c r="R11">
        <v>1.5</v>
      </c>
      <c r="S11" t="s">
        <v>109</v>
      </c>
      <c r="V11" t="s">
        <v>162</v>
      </c>
    </row>
    <row r="12" spans="1:22" x14ac:dyDescent="0.45">
      <c r="A12">
        <f t="shared" si="1"/>
        <v>11</v>
      </c>
      <c r="B12" t="s">
        <v>112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113</v>
      </c>
      <c r="M12" t="s">
        <v>114</v>
      </c>
      <c r="S12" t="s">
        <v>115</v>
      </c>
      <c r="V12" t="s">
        <v>162</v>
      </c>
    </row>
    <row r="13" spans="1:22" x14ac:dyDescent="0.45">
      <c r="A13">
        <f t="shared" si="1"/>
        <v>12</v>
      </c>
      <c r="B13" t="s">
        <v>176</v>
      </c>
      <c r="C13" t="s">
        <v>12</v>
      </c>
      <c r="D13" t="s">
        <v>21</v>
      </c>
      <c r="E13">
        <v>10</v>
      </c>
      <c r="F13">
        <v>10</v>
      </c>
      <c r="G13">
        <v>0</v>
      </c>
      <c r="H13">
        <v>0.8</v>
      </c>
      <c r="I13">
        <v>0</v>
      </c>
      <c r="J13" t="s">
        <v>50</v>
      </c>
      <c r="K13">
        <v>0</v>
      </c>
      <c r="L13" t="s">
        <v>134</v>
      </c>
      <c r="M13" t="s">
        <v>134</v>
      </c>
      <c r="N13" t="s">
        <v>134</v>
      </c>
      <c r="S13" t="s">
        <v>135</v>
      </c>
      <c r="V13" t="s">
        <v>165</v>
      </c>
    </row>
    <row r="14" spans="1:22" x14ac:dyDescent="0.45">
      <c r="A14">
        <f t="shared" si="1"/>
        <v>13</v>
      </c>
      <c r="B14" t="s">
        <v>137</v>
      </c>
      <c r="C14" t="s">
        <v>11</v>
      </c>
      <c r="D14" t="s">
        <v>21</v>
      </c>
      <c r="E14">
        <v>1</v>
      </c>
      <c r="F14">
        <v>10</v>
      </c>
      <c r="G14">
        <v>0</v>
      </c>
      <c r="H14">
        <v>0</v>
      </c>
      <c r="I14">
        <v>20</v>
      </c>
      <c r="J14" t="s">
        <v>50</v>
      </c>
      <c r="K14">
        <v>0</v>
      </c>
      <c r="L14" t="s">
        <v>149</v>
      </c>
      <c r="M14" t="s">
        <v>149</v>
      </c>
      <c r="S14" t="s">
        <v>138</v>
      </c>
      <c r="T14">
        <v>10</v>
      </c>
      <c r="U14">
        <v>60</v>
      </c>
      <c r="V14" t="s">
        <v>164</v>
      </c>
    </row>
    <row r="15" spans="1:22" x14ac:dyDescent="0.45">
      <c r="A15">
        <f t="shared" si="1"/>
        <v>14</v>
      </c>
      <c r="B15" t="s">
        <v>140</v>
      </c>
      <c r="C15" t="s">
        <v>11</v>
      </c>
      <c r="D15" t="s">
        <v>21</v>
      </c>
      <c r="E15">
        <v>8</v>
      </c>
      <c r="F15">
        <v>15</v>
      </c>
      <c r="G15">
        <v>0</v>
      </c>
      <c r="H15">
        <v>0.3</v>
      </c>
      <c r="I15">
        <v>30</v>
      </c>
      <c r="J15" t="s">
        <v>50</v>
      </c>
      <c r="K15">
        <v>0</v>
      </c>
      <c r="L15" t="s">
        <v>141</v>
      </c>
      <c r="M15" t="s">
        <v>141</v>
      </c>
      <c r="S15" t="s">
        <v>142</v>
      </c>
      <c r="V15" t="s">
        <v>164</v>
      </c>
    </row>
    <row r="16" spans="1:22" x14ac:dyDescent="0.45">
      <c r="A16">
        <f t="shared" si="1"/>
        <v>15</v>
      </c>
      <c r="B16" t="s">
        <v>144</v>
      </c>
      <c r="C16" t="s">
        <v>11</v>
      </c>
      <c r="D16" t="s">
        <v>21</v>
      </c>
      <c r="E16">
        <v>3</v>
      </c>
      <c r="F16">
        <v>10</v>
      </c>
      <c r="G16">
        <v>0</v>
      </c>
      <c r="H16">
        <v>0.2</v>
      </c>
      <c r="I16">
        <v>15</v>
      </c>
      <c r="J16" t="s">
        <v>50</v>
      </c>
      <c r="K16">
        <v>2</v>
      </c>
      <c r="L16" t="s">
        <v>145</v>
      </c>
      <c r="M16" t="s">
        <v>145</v>
      </c>
      <c r="S16" t="s">
        <v>146</v>
      </c>
      <c r="T16">
        <v>3</v>
      </c>
      <c r="U16">
        <v>15</v>
      </c>
      <c r="V16" t="s">
        <v>164</v>
      </c>
    </row>
    <row r="17" spans="1:19" x14ac:dyDescent="0.45">
      <c r="A17">
        <f>ROW()-1</f>
        <v>16</v>
      </c>
      <c r="B17" t="s">
        <v>177</v>
      </c>
    </row>
    <row r="18" spans="1:19" x14ac:dyDescent="0.45">
      <c r="A18">
        <f>ROW()-1</f>
        <v>17</v>
      </c>
      <c r="B18" t="s">
        <v>182</v>
      </c>
      <c r="S18" t="s">
        <v>183</v>
      </c>
    </row>
  </sheetData>
  <phoneticPr fontId="1"/>
  <dataValidations count="3">
    <dataValidation type="decimal" allowBlank="1" showInputMessage="1" showErrorMessage="1" sqref="E2:I18" xr:uid="{1DD7AC07-48F3-4158-AFAE-9A67E1197F38}">
      <formula1>0</formula1>
      <formula2>600</formula2>
    </dataValidation>
    <dataValidation type="whole" allowBlank="1" showInputMessage="1" showErrorMessage="1" sqref="K2:K18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22</xdr:row>
                    <xdr:rowOff>7620</xdr:rowOff>
                  </from>
                  <to>
                    <xdr:col>19</xdr:col>
                    <xdr:colOff>7620</xdr:colOff>
                    <xdr:row>24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A0A6037-F450-4342-8C2E-1B714890B523}">
          <x14:formula1>
            <xm:f>検索用シート!$A$2:$A$6</xm:f>
          </x14:formula1>
          <xm:sqref>C2:C18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D2:D18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J2:J18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P2:P18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O2:O18</xm:sqref>
        </x14:dataValidation>
        <x14:dataValidation type="list" allowBlank="1" showInputMessage="1" showErrorMessage="1" xr:uid="{404A9E6F-0117-4C65-AE48-C26404715405}">
          <x14:formula1>
            <xm:f>検索用シート!$A$9:$A$20</xm:f>
          </x14:formula1>
          <xm:sqref>V2:V18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2026-09-25T05:56:38Z</dcterms:modified>
</cp:coreProperties>
</file>