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C48665FA-5E9C-47DD-AB6F-EBFDAC2A55AB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9" l="1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P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A20" i="1" l="1"/>
  <c r="A19" i="1" l="1"/>
  <c r="A18" i="1" l="1"/>
  <c r="A17" i="1"/>
  <c r="A16" i="1" l="1"/>
  <c r="A15" i="1"/>
  <c r="A14" i="1"/>
  <c r="A13" i="1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<sst xmlns="http://schemas.openxmlformats.org/spreadsheetml/2006/main" count="367" uniqueCount="211">
  <si>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</si>
  <si>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</si>
  <si>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</si>
  <si>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</si>
  <si>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</si>
  <si>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</si>
  <si>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</si>
  <si>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</si>
  <si>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</si>
  <si>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</si>
  <si>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</si>
  <si>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</si>
  <si>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</si>
  <si>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</si>
  <si>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</si>
  <si>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</si>
  <si>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</si>
  <si>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</si>
  <si>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</si>
  <si>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</si>
  <si>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</si>
  <si>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</si>
  <si>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</si>
  <si>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</si>
  <si>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</si>
  <si>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</si>
  <si>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</si>
  <si>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</si>
  <si>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</si>
  <si>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</si>
  <si>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</si>
  <si>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</si>
  <si>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</si>
  <si>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</si>
  <si>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</si>
  <si>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</si>
  <si>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</si>
  <si>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</si>
  <si>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</si>
  <si>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</si>
  <si>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</si>
  <si>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</si>
  <si>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</si>
  <si>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</si>
  <si>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</si>
  <si>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</si>
  <si>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</si>
  <si>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</si>
  <si>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</si>
  <si>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</si>
  <si>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</si>
  <si>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</si>
  <si>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</si>
  <si>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</si>
  <si>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</si>
  <si>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</si>
  <si>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</si>
  <si>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</si>
  <si>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</si>
  <si>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</si>
  <si>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</si>
  <si>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</si>
  <si>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</si>
  <si>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</si>
  <si>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</si>
  <si>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</si>
  <si>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</si>
  <si>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</si>
  <si>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</si>
  <si>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</si>
  <si>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</si>
  <si>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</si>
  <si>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</si>
  <si>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</si>
  <si>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</si>
  <si>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</si>
  <si>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</si>
  <si>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</si>
  <si>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</si>
  <si>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</si>
  <si>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</si>
  <si>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</si>
  <si>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</si>
  <si>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</si>
  <si>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</si>
  <si>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</si>
  <si>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</si>
  <si>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</si>
  <si>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</si>
  <si>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</si>
  <si>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</si>
  <si>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</si>
  <si>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</si>
  <si>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</si>
  <si>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DarkBall</t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</si>
  <si>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</si>
  <si>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</si>
  <si>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</si>
  <si>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</si>
  <si>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</si>
  <si>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</si>
  <si>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</si>
  <si>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</si>
  <si>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</si>
  <si>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</si>
  <si>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</si>
  <si>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</si>
  <si>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</si>
  <si>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</si>
  <si>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</si>
  <si>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</si>
  <si>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</si>
  <si>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</si>
  <si>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</si>
  <si>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</si>
  <si>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</si>
  <si>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</si>
  <si>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</si>
  <si>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</si>
  <si>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</si>
  <si>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</si>
  <si>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</si>
  <si>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</si>
  <si>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</si>
  <si>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</si>
  <si>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</si>
  <si>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</si>
  <si>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</si>
  <si>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</si>
  <si>
    <t>Spear</t>
  </si>
  <si>
    <t>Ice</t>
  </si>
  <si>
    <t>Shadow</t>
  </si>
  <si>
    <t>Poison</t>
  </si>
  <si>
    <t>Thunder</t>
  </si>
  <si>
    <t>Thunder</t>
    <phoneticPr fontId="1"/>
  </si>
  <si>
    <t>高いダメージを出す魔法</t>
    <rPh sb="0" eb="1">
      <t>タカ</t>
    </rPh>
    <rPh sb="7" eb="8">
      <t>ダ</t>
    </rPh>
    <rPh sb="9" eb="11">
      <t>マホウ</t>
    </rPh>
    <phoneticPr fontId="1"/>
  </si>
  <si>
    <t>ショットガン</t>
  </si>
  <si>
    <t>ショットガン</t>
    <phoneticPr fontId="1"/>
  </si>
  <si>
    <t>広い範囲に撃つ</t>
    <rPh sb="0" eb="1">
      <t>ヒロ</t>
    </rPh>
    <rPh sb="2" eb="4">
      <t>ハンイ</t>
    </rPh>
    <rPh sb="5" eb="6">
      <t>ウ</t>
    </rPh>
    <phoneticPr fontId="1"/>
  </si>
  <si>
    <t>スナイパー</t>
  </si>
  <si>
    <t>スナイパー</t>
    <phoneticPr fontId="1"/>
  </si>
  <si>
    <t>Sniper</t>
    <phoneticPr fontId="1"/>
  </si>
  <si>
    <t>早い弾を出す</t>
    <rPh sb="0" eb="1">
      <t>ハヤ</t>
    </rPh>
    <rPh sb="2" eb="3">
      <t>タマ</t>
    </rPh>
    <rPh sb="4" eb="5">
      <t>ダ</t>
    </rPh>
    <phoneticPr fontId="1"/>
  </si>
  <si>
    <t>ナイフ</t>
  </si>
  <si>
    <t>ナイフ</t>
    <phoneticPr fontId="1"/>
  </si>
  <si>
    <t>Knife</t>
    <phoneticPr fontId="1"/>
  </si>
  <si>
    <t>３方向にナイフを出す</t>
    <rPh sb="1" eb="3">
      <t>ホウコウ</t>
    </rPh>
    <rPh sb="8" eb="9">
      <t>ダ</t>
    </rPh>
    <phoneticPr fontId="1"/>
  </si>
  <si>
    <t>生成個数</t>
    <rPh sb="0" eb="4">
      <t>セイセイコスウ</t>
    </rPh>
    <phoneticPr fontId="1"/>
  </si>
  <si>
    <t>角度</t>
    <rPh sb="0" eb="2">
      <t>カクド</t>
    </rPh>
    <phoneticPr fontId="1"/>
  </si>
  <si>
    <t>Shotgun</t>
    <phoneticPr fontId="1"/>
  </si>
  <si>
    <t>挙動</t>
    <rPh sb="0" eb="2">
      <t>キョドウ</t>
    </rPh>
    <phoneticPr fontId="1"/>
  </si>
  <si>
    <t>None</t>
    <phoneticPr fontId="1"/>
  </si>
  <si>
    <t>Straight</t>
    <phoneticPr fontId="1"/>
  </si>
  <si>
    <t>Area</t>
    <phoneticPr fontId="1"/>
  </si>
  <si>
    <t>Stationary</t>
    <phoneticPr fontId="1"/>
  </si>
  <si>
    <t>Mine</t>
    <phoneticPr fontId="1"/>
  </si>
  <si>
    <t>Homing</t>
    <phoneticPr fontId="1"/>
  </si>
  <si>
    <t>Boomerang</t>
    <phoneticPr fontId="1"/>
  </si>
  <si>
    <t>Chain</t>
    <phoneticPr fontId="1"/>
  </si>
  <si>
    <t>Split</t>
    <phoneticPr fontId="1"/>
  </si>
  <si>
    <t>Orbit</t>
    <phoneticPr fontId="1"/>
  </si>
  <si>
    <t>Knockback</t>
    <phoneticPr fontId="1"/>
  </si>
  <si>
    <t>デフォルト</t>
  </si>
  <si>
    <t>デフォルト</t>
    <phoneticPr fontId="1"/>
  </si>
  <si>
    <t>直線</t>
    <rPh sb="0" eb="2">
      <t>チョクセン</t>
    </rPh>
    <phoneticPr fontId="1"/>
  </si>
  <si>
    <t>通常</t>
    <rPh sb="0" eb="2">
      <t>ツウジョウ</t>
    </rPh>
    <phoneticPr fontId="1"/>
  </si>
  <si>
    <t>設置型</t>
    <rPh sb="0" eb="3">
      <t>セッチガタ</t>
    </rPh>
    <phoneticPr fontId="1"/>
  </si>
  <si>
    <t>地雷型</t>
    <rPh sb="0" eb="3">
      <t>ジライガタ</t>
    </rPh>
    <phoneticPr fontId="1"/>
  </si>
  <si>
    <t>ホーミング</t>
    <phoneticPr fontId="1"/>
  </si>
  <si>
    <t>戻ってくる</t>
    <rPh sb="0" eb="1">
      <t>モド</t>
    </rPh>
    <phoneticPr fontId="1"/>
  </si>
  <si>
    <t>連鎖型</t>
    <rPh sb="0" eb="3">
      <t>レンサガタ</t>
    </rPh>
    <phoneticPr fontId="1"/>
  </si>
  <si>
    <t>分裂型</t>
    <rPh sb="0" eb="3">
      <t>ブンレツガタ</t>
    </rPh>
    <phoneticPr fontId="1"/>
  </si>
  <si>
    <t>公転型</t>
    <rPh sb="0" eb="3">
      <t>コウテンガタ</t>
    </rPh>
    <phoneticPr fontId="1"/>
  </si>
  <si>
    <t>ノックバック</t>
    <phoneticPr fontId="1"/>
  </si>
  <si>
    <t>TargetPosition</t>
    <phoneticPr fontId="1"/>
  </si>
  <si>
    <t>雷魔法</t>
    <rPh sb="0" eb="1">
      <t>カミナリ</t>
    </rPh>
    <rPh sb="1" eb="3">
      <t>マホウ</t>
    </rPh>
    <phoneticPr fontId="1"/>
  </si>
  <si>
    <t>草魔法</t>
    <rPh sb="0" eb="3">
      <t>クサマホウ</t>
    </rPh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</si>
  <si>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</si>
  <si>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敵を追尾する魔法</t>
    <rPh sb="0" eb="1">
      <t>テキ</t>
    </rPh>
    <rPh sb="2" eb="4">
      <t>ツイビ</t>
    </rPh>
    <rPh sb="6" eb="8">
      <t>マホウ</t>
    </rPh>
    <phoneticPr fontId="1"/>
  </si>
  <si>
    <t>影魔法</t>
    <rPh sb="0" eb="1">
      <t>カゲ</t>
    </rPh>
    <rPh sb="1" eb="3">
      <t>マホウ</t>
    </rPh>
    <phoneticPr fontId="1"/>
  </si>
  <si>
    <t>闇魔法</t>
    <rPh sb="0" eb="1">
      <t>ヤミ</t>
    </rPh>
    <rPh sb="1" eb="3">
      <t>マホウ</t>
    </rPh>
    <phoneticPr fontId="1"/>
  </si>
  <si>
    <t>自分に帰ってくる魔法を出す</t>
    <rPh sb="0" eb="2">
      <t>ジブン</t>
    </rPh>
    <rPh sb="3" eb="4">
      <t>カエ</t>
    </rPh>
    <rPh sb="8" eb="10">
      <t>マホウ</t>
    </rPh>
    <rPh sb="11" eb="12">
      <t>ダ</t>
    </rPh>
    <phoneticPr fontId="1"/>
  </si>
  <si>
    <t>ホーミング</t>
  </si>
  <si>
    <t>Grass</t>
    <phoneticPr fontId="1"/>
  </si>
  <si>
    <t>Shadow</t>
    <phoneticPr fontId="1"/>
  </si>
  <si>
    <t>水魔法</t>
    <rPh sb="0" eb="3">
      <t>ミズマホウ</t>
    </rPh>
    <phoneticPr fontId="1"/>
  </si>
  <si>
    <t>Water</t>
    <phoneticPr fontId="1"/>
  </si>
  <si>
    <t>攻撃を下げる魔法</t>
    <rPh sb="0" eb="2">
      <t>コウゲキ</t>
    </rPh>
    <rPh sb="3" eb="4">
      <t>サ</t>
    </rPh>
    <rPh sb="6" eb="8">
      <t>マホウ</t>
    </rPh>
    <phoneticPr fontId="1"/>
  </si>
  <si>
    <t>持続攻撃</t>
    <rPh sb="0" eb="2">
      <t>ジゾク</t>
    </rPh>
    <rPh sb="2" eb="4">
      <t>コウゲキ</t>
    </rPh>
    <phoneticPr fontId="1"/>
  </si>
  <si>
    <t>火魔法</t>
    <rPh sb="0" eb="1">
      <t>ヒ</t>
    </rPh>
    <rPh sb="1" eb="3">
      <t>マホウ</t>
    </rPh>
    <phoneticPr fontId="1"/>
  </si>
  <si>
    <t>Fire</t>
    <phoneticPr fontId="1"/>
  </si>
  <si>
    <t>地面に出す範囲魔法</t>
    <rPh sb="0" eb="2">
      <t>ジメン</t>
    </rPh>
    <rPh sb="3" eb="4">
      <t>ダ</t>
    </rPh>
    <rPh sb="5" eb="7">
      <t>ハンイ</t>
    </rPh>
    <rPh sb="7" eb="9">
      <t>マホウ</t>
    </rPh>
    <phoneticPr fontId="1"/>
  </si>
  <si>
    <t>Heal</t>
  </si>
  <si>
    <t>Heal</t>
    <phoneticPr fontId="1"/>
  </si>
  <si>
    <t>Shotgun</t>
  </si>
  <si>
    <t>Sniper</t>
  </si>
  <si>
    <t>Knife</t>
  </si>
  <si>
    <t>Grass</t>
  </si>
  <si>
    <t>Water</t>
  </si>
  <si>
    <t>Fire</t>
  </si>
  <si>
    <t>Buff</t>
  </si>
  <si>
    <t>Buff</t>
    <phoneticPr fontId="1"/>
  </si>
  <si>
    <t>Dark</t>
  </si>
  <si>
    <t>Dark</t>
    <phoneticPr fontId="1"/>
  </si>
  <si>
    <t>Water</t>
    <phoneticPr fontId="1"/>
  </si>
  <si>
    <t>Fire</t>
    <phoneticPr fontId="1"/>
  </si>
  <si>
    <t>Shotgun</t>
    <phoneticPr fontId="1"/>
  </si>
  <si>
    <t>Sniper</t>
    <phoneticPr fontId="1"/>
  </si>
  <si>
    <t>Knife</t>
    <phoneticPr fontId="1"/>
  </si>
  <si>
    <t>Grass</t>
    <phoneticPr fontId="1"/>
  </si>
  <si>
    <t>Dice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</si>
</sst>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24</xdr:row>
          <xdr:rowOff>7620</xdr:rowOff>
        </xdr:from>
        <xdr:to>
          <xdr:col>19</xdr:col>
          <xdr:colOff>7620</xdr:colOff>
          <xdr:row>26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981CDC-38FD-4648-8864-E69F7AD70AFB}" name="OutputTable" displayName="OutputTable" ref="A1:V20" totalsRowShown="0">
  <autoFilter ref="A1:V20" xr:uid="{3F4914FD-0851-4525-AD2E-8F054B93C072}"/>
  <tableColumns count="22">
    <tableColumn id="1" xr3:uid="{7A795CBC-79F7-4AAF-B283-EBB9C2BFB4F2}" name="No"/>
    <tableColumn id="2" xr3:uid="{2B145E31-A871-4B58-9D71-4336B4420A86}" name="名前"/>
    <tableColumn id="3" xr3:uid="{9B89ABDC-0AF4-4E27-8E1E-1A6ADDE01BB1}" name="ターゲット方法">
      <calculatedColumnFormula>VLOOKUP('InputFile(Skill)'!C2, 検索用シート!$A$2:$B$6, 2, FALSE)</calculatedColumnFormula>
    </tableColumn>
    <tableColumn id="4" xr3:uid="{16CACD76-E954-445D-A030-1A1804D39FD8}" name="攻撃方法">
      <calculatedColumnFormula>VLOOKUP('InputFile(Skill)'!D2, 検索用シート!$D$2:$E$5, 2, FALSE)</calculatedColumnFormula>
    </tableColumn>
    <tableColumn id="5" xr3:uid="{814A8B1A-2273-4A67-9EFA-5160BD39720B}" name="値"/>
    <tableColumn id="6" xr3:uid="{CB1CA3B6-4BF4-4D64-8EEE-0CAAD862D244}" name="クールタイム"/>
    <tableColumn id="7" xr3:uid="{F51BC8C4-DEE1-4B2A-96E3-E42EDDE26D9B}" name="持続時間"/>
    <tableColumn id="8" xr3:uid="{F9B7079B-D760-4EA1-930F-040F1760102D}" name="予備動作時間"/>
    <tableColumn id="9" xr3:uid="{0DC2A7AE-AC1B-4982-AC1C-48196F00B00B}" name="移動速度"/>
    <tableColumn id="10" xr3:uid="{68A88FD3-AD32-4A9A-8E47-27FB78F31431}" name="貫通">
      <calculatedColumnFormula>VLOOKUP('InputFile(Skill)'!J2, 検索用シート!$G$2:$H$3, 2, FALSE)</calculatedColumnFormula>
    </tableColumn>
    <tableColumn id="11" xr3:uid="{6FF20533-9EAB-473C-AA7A-177D89047043}" name="反射回数"/>
    <tableColumn id="12" xr3:uid="{B2ABA061-A900-476C-B9B8-C95943B14015}" name="画像パス">
      <calculatedColumnFormula>検索用シート!$J$8 &amp; 'InputFile(Skill)'!L2</calculatedColumnFormula>
    </tableColumn>
    <tableColumn id="13" xr3:uid="{456D9680-0B8E-431D-9075-B1538355CE7D}" name="スキルオブジェクト">
      <calculatedColumnFormula>検索用シート!$J$2 &amp; 'InputFile(Skill)'!M2</calculatedColumnFormula>
    </tableColumn>
    <tableColumn id="14" xr3:uid="{C88795BA-7242-4CF8-AC5F-82F07702F276}" name="効果音"/>
    <tableColumn id="15" xr3:uid="{BE642D63-2E3B-4018-B3F2-138D62678B7D}" name="付与するエフェクト">
      <calculatedColumnFormula>IF('InputFile(Skill)'!O2="", "", IFERROR(VLOOKUP('InputFile(Skill)'!O2, 検索用シート!$L$2:$M$14, 2, FALSE), ""))</calculatedColumnFormula>
    </tableColumn>
    <tableColumn id="16" xr3:uid="{CD3E28DD-7010-4AFD-B2A7-A9B30D5005A3}" name="バフか">
      <calculatedColumnFormula>IF('InputFile(Skill)'!P2="", "", IFERROR(VLOOKUP('InputFile(Skill)'!P2, 検索用シート!$G$6:$H$7, 2, FALSE), ""))</calculatedColumnFormula>
    </tableColumn>
    <tableColumn id="17" xr3:uid="{F8F6F848-23DF-411E-9232-34403F443D6A}" name="エフェクト持続時間"/>
    <tableColumn id="18" xr3:uid="{E700C2CB-A952-4AEE-AF53-F6FB541AB9C7}" name="エフェクト数値"/>
    <tableColumn id="19" xr3:uid="{88FD2B83-19AC-4F33-A8B2-F9D1BDBF1EA5}" name="説明"/>
    <tableColumn id="20" xr3:uid="{B5E696AC-0D11-43C7-9814-0CD7791B18C4}" name="生成個数"/>
    <tableColumn id="21" xr3:uid="{57A35A7F-25B6-421A-860A-A4CED243EAA7}" name="角度"/>
    <tableColumn id="22" xr3:uid="{770F64AB-A5AC-4D2C-960E-CE5D0C136481}" name="挙動">
      <calculatedColumnFormula>VLOOKUP('InputFile(Skill)'!V2, 検索用シート!$A$9:$B$20, 2, 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V20" totalsRowShown="0">
  <autoFilter ref="A1:V20" xr:uid="{1F6AF440-C034-4897-9253-FD1BE22FEFC7}"/>
  <tableColumns count="22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  <tableColumn id="20" xr3:uid="{6108AE96-EBD2-426E-B1FC-186294A106F0}" name="生成個数"/>
    <tableColumn id="21" xr3:uid="{B4E92BC2-DA90-44B0-888E-7C5EDD4ABDAB}" name="角度"/>
    <tableColumn id="22" xr3:uid="{5745DB12-2E37-443F-820C-287489D6C092}" name="挙動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V20"/>
  <sheetViews>
    <sheetView topLeftCell="M1" workbookViewId="0">
      <selection sqref="A1:V20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9.796875" customWidth="1"/>
    <col min="22" max="22" width="13.3984375" bestFit="1" customWidth="1"/>
  </cols>
  <sheetData>
    <row r="1" spans="1:22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15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">
        <v>129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  <c r="V2" t="str">
        <f>VLOOKUP('InputFile(Skill)'!V2, 検索用シート!$A$9:$B$20, 2, FALSE)</f>
        <v>Straight</v>
      </c>
    </row>
    <row r="3" spans="1:22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">
        <v>129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  <c r="V3" t="str">
        <f>VLOOKUP('InputFile(Skill)'!V3, 検索用シート!$A$9:$B$20, 2, FALSE)</f>
        <v>Straight</v>
      </c>
    </row>
    <row r="4" spans="1:22" x14ac:dyDescent="0.45">
      <c r="A4">
        <v>3</v>
      </c>
      <c r="B4" t="s">
        <v>117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5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">
        <v>129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119</v>
      </c>
      <c r="V4" t="str">
        <f>VLOOKUP('InputFile(Skill)'!V4, 検索用シート!$A$9:$B$20, 2, FALSE)</f>
        <v>Straight</v>
      </c>
    </row>
    <row r="5" spans="1:22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N5" t="s">
        <v>121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  <c r="V5" t="str">
        <f>VLOOKUP('InputFile(Skill)'!V5, 検索用シート!$A$9:$B$20, 2, FALSE)</f>
        <v>TargetPosition</v>
      </c>
    </row>
    <row r="6" spans="1:22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">
        <v>130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  <c r="V6" t="str">
        <f>VLOOKUP('InputFile(Skill)'!V6, 検索用シート!$A$9:$B$20, 2, FALSE)</f>
        <v>TargetPosition</v>
      </c>
    </row>
    <row r="7" spans="1:22" x14ac:dyDescent="0.45">
      <c r="A7">
        <v>6</v>
      </c>
      <c r="B7" t="s">
        <v>179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">
        <v>131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177</v>
      </c>
      <c r="V7" t="str">
        <f>VLOOKUP('InputFile(Skill)'!V7, 検索用シート!$A$9:$B$20, 2, FALSE)</f>
        <v>TargetPosition</v>
      </c>
    </row>
    <row r="8" spans="1:22" x14ac:dyDescent="0.45">
      <c r="A8">
        <v>7</v>
      </c>
      <c r="B8" t="s">
        <v>95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">
        <v>132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97</v>
      </c>
      <c r="V8" t="str">
        <f>VLOOKUP('InputFile(Skill)'!V8, 検索用シート!$A$9:$B$20, 2, FALSE)</f>
        <v>TargetPosition</v>
      </c>
    </row>
    <row r="9" spans="1:22" x14ac:dyDescent="0.45">
      <c r="A9">
        <v>8</v>
      </c>
      <c r="B9" t="s">
        <v>98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N9" t="s">
        <v>200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101</v>
      </c>
      <c r="V9" t="str">
        <f>VLOOKUP('InputFile(Skill)'!V9, 検索用シート!$A$9:$B$20, 2, FALSE)</f>
        <v>None</v>
      </c>
    </row>
    <row r="10" spans="1:22" x14ac:dyDescent="0.45">
      <c r="A10">
        <v>9</v>
      </c>
      <c r="B10" t="s">
        <v>105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N10" t="s">
        <v>200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107</v>
      </c>
      <c r="V10" t="str">
        <f>VLOOKUP('InputFile(Skill)'!V10, 検索用シート!$A$9:$B$20, 2, FALSE)</f>
        <v>None</v>
      </c>
    </row>
    <row r="11" spans="1:22" x14ac:dyDescent="0.45">
      <c r="A11">
        <v>10</v>
      </c>
      <c r="B11" t="s">
        <v>108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N11" t="s">
        <v>200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109</v>
      </c>
      <c r="V11" t="str">
        <f>VLOOKUP('InputFile(Skill)'!V11, 検索用シート!$A$9:$B$20, 2, FALSE)</f>
        <v>None</v>
      </c>
    </row>
    <row r="12" spans="1:22" x14ac:dyDescent="0.45">
      <c r="A12">
        <v>11</v>
      </c>
      <c r="B12" t="s">
        <v>112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N12" t="s">
        <v>192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115</v>
      </c>
      <c r="V12" t="str">
        <f>VLOOKUP('InputFile(Skill)'!V12, 検索用シート!$A$9:$B$20, 2, FALSE)</f>
        <v>None</v>
      </c>
    </row>
    <row r="13" spans="1:22" x14ac:dyDescent="0.45">
      <c r="A13">
        <v>12</v>
      </c>
      <c r="B13" t="s">
        <v>175</v>
      </c>
      <c r="C13" t="str">
        <f>VLOOKUP('InputFile(Skill)'!C13, 検索用シート!$A$2:$B$6, 2, FALSE)</f>
        <v>LookOn</v>
      </c>
      <c r="D13" t="str">
        <f>VLOOKUP('InputFile(Skill)'!D13, 検索用シート!$D$2:$E$5, 2, FALSE)</f>
        <v>Attack</v>
      </c>
      <c r="E13">
        <v>10</v>
      </c>
      <c r="F13">
        <v>10</v>
      </c>
      <c r="G13">
        <v>0</v>
      </c>
      <c r="H13">
        <v>0.8</v>
      </c>
      <c r="I13">
        <v>0</v>
      </c>
      <c r="J13">
        <f>VLOOKUP('InputFile(Skill)'!J13, 検索用シート!$G$2:$H$3, 2, FALSE)</f>
        <v>-1</v>
      </c>
      <c r="K13">
        <v>0</v>
      </c>
      <c r="L13" t="str">
        <f>検索用シート!$J$8 &amp; 'InputFile(Skill)'!L13</f>
        <v>Sprites/Icon/Thunder</v>
      </c>
      <c r="M13" t="str">
        <f>検索用シート!$J$2 &amp; 'InputFile(Skill)'!M13</f>
        <v>Effect/Skill/Thunder</v>
      </c>
      <c r="N13" t="s">
        <v>133</v>
      </c>
      <c r="O13" t="str">
        <f>IF('InputFile(Skill)'!O13="", "", IFERROR(VLOOKUP('InputFile(Skill)'!O13, 検索用シート!$L$2:$M$14, 2, FALSE), ""))</f>
        <v/>
      </c>
      <c r="P13" t="str">
        <f>IF('InputFile(Skill)'!P13="", "", IFERROR(VLOOKUP('InputFile(Skill)'!P13, 検索用シート!$G$6:$H$7, 2, FALSE), ""))</f>
        <v/>
      </c>
      <c r="S13" t="s">
        <v>135</v>
      </c>
      <c r="V13" t="str">
        <f>VLOOKUP('InputFile(Skill)'!V13, 検索用シート!$A$9:$B$20, 2, FALSE)</f>
        <v>TargetPosition</v>
      </c>
    </row>
    <row r="14" spans="1:22" x14ac:dyDescent="0.45">
      <c r="A14">
        <v>13</v>
      </c>
      <c r="B14" t="s">
        <v>136</v>
      </c>
      <c r="C14" t="str">
        <f>VLOOKUP('InputFile(Skill)'!C14, 検索用シート!$A$2:$B$6, 2, FALSE)</f>
        <v>Direction</v>
      </c>
      <c r="D14" t="str">
        <f>VLOOKUP('InputFile(Skill)'!D14, 検索用シート!$D$2:$E$5, 2, FALSE)</f>
        <v>Attack</v>
      </c>
      <c r="E14">
        <v>1</v>
      </c>
      <c r="F14">
        <v>10</v>
      </c>
      <c r="G14">
        <v>30</v>
      </c>
      <c r="H14">
        <v>0</v>
      </c>
      <c r="I14">
        <v>20</v>
      </c>
      <c r="J14">
        <f>VLOOKUP('InputFile(Skill)'!J14, 検索用シート!$G$2:$H$3, 2, FALSE)</f>
        <v>-1</v>
      </c>
      <c r="K14">
        <v>0</v>
      </c>
      <c r="L14" t="str">
        <f>検索用シート!$J$8 &amp; 'InputFile(Skill)'!L14</f>
        <v>Sprites/Icon/Shotgun</v>
      </c>
      <c r="M14" t="str">
        <f>検索用シート!$J$2 &amp; 'InputFile(Skill)'!M14</f>
        <v>Effect/Skill/Shotgun</v>
      </c>
      <c r="N14" t="s">
        <v>194</v>
      </c>
      <c r="O14" t="str">
        <f>IF('InputFile(Skill)'!O14="", "", IFERROR(VLOOKUP('InputFile(Skill)'!O14, 検索用シート!$L$2:$M$14, 2, FALSE), ""))</f>
        <v/>
      </c>
      <c r="P14" t="str">
        <f>IF('InputFile(Skill)'!P14="", "", IFERROR(VLOOKUP('InputFile(Skill)'!P14, 検索用シート!$G$6:$H$7, 2, FALSE), ""))</f>
        <v/>
      </c>
      <c r="S14" t="s">
        <v>138</v>
      </c>
      <c r="T14">
        <v>10</v>
      </c>
      <c r="U14">
        <v>60</v>
      </c>
      <c r="V14" t="str">
        <f>VLOOKUP('InputFile(Skill)'!V14, 検索用シート!$A$9:$B$20, 2, FALSE)</f>
        <v>Straight</v>
      </c>
    </row>
    <row r="15" spans="1:22" x14ac:dyDescent="0.45">
      <c r="A15">
        <v>14</v>
      </c>
      <c r="B15" t="s">
        <v>139</v>
      </c>
      <c r="C15" t="str">
        <f>VLOOKUP('InputFile(Skill)'!C15, 検索用シート!$A$2:$B$6, 2, FALSE)</f>
        <v>Direction</v>
      </c>
      <c r="D15" t="str">
        <f>VLOOKUP('InputFile(Skill)'!D15, 検索用シート!$D$2:$E$5, 2, FALSE)</f>
        <v>Attack</v>
      </c>
      <c r="E15">
        <v>8</v>
      </c>
      <c r="F15">
        <v>15</v>
      </c>
      <c r="G15">
        <v>20</v>
      </c>
      <c r="H15">
        <v>0.3</v>
      </c>
      <c r="I15">
        <v>30</v>
      </c>
      <c r="J15">
        <f>VLOOKUP('InputFile(Skill)'!J15, 検索用シート!$G$2:$H$3, 2, FALSE)</f>
        <v>-1</v>
      </c>
      <c r="K15">
        <v>0</v>
      </c>
      <c r="L15" t="str">
        <f>検索用シート!$J$8 &amp; 'InputFile(Skill)'!L15</f>
        <v>Sprites/Icon/Sniper</v>
      </c>
      <c r="M15" t="str">
        <f>検索用シート!$J$2 &amp; 'InputFile(Skill)'!M15</f>
        <v>Effect/Skill/Sniper</v>
      </c>
      <c r="N15" t="s">
        <v>195</v>
      </c>
      <c r="O15" t="str">
        <f>IF('InputFile(Skill)'!O15="", "", IFERROR(VLOOKUP('InputFile(Skill)'!O15, 検索用シート!$L$2:$M$14, 2, FALSE), ""))</f>
        <v/>
      </c>
      <c r="P15" t="str">
        <f>IF('InputFile(Skill)'!P15="", "", IFERROR(VLOOKUP('InputFile(Skill)'!P15, 検索用シート!$G$6:$H$7, 2, FALSE), ""))</f>
        <v/>
      </c>
      <c r="S15" t="s">
        <v>142</v>
      </c>
      <c r="V15" t="str">
        <f>VLOOKUP('InputFile(Skill)'!V15, 検索用シート!$A$9:$B$20, 2, FALSE)</f>
        <v>Straight</v>
      </c>
    </row>
    <row r="16" spans="1:22" x14ac:dyDescent="0.45">
      <c r="A16">
        <v>15</v>
      </c>
      <c r="B16" t="s">
        <v>143</v>
      </c>
      <c r="C16" t="str">
        <f>VLOOKUP('InputFile(Skill)'!C16, 検索用シート!$A$2:$B$6, 2, FALSE)</f>
        <v>Direction</v>
      </c>
      <c r="D16" t="str">
        <f>VLOOKUP('InputFile(Skill)'!D16, 検索用シート!$D$2:$E$5, 2, FALSE)</f>
        <v>Attack</v>
      </c>
      <c r="E16">
        <v>3</v>
      </c>
      <c r="F16">
        <v>10</v>
      </c>
      <c r="G16">
        <v>0</v>
      </c>
      <c r="H16">
        <v>0.2</v>
      </c>
      <c r="I16">
        <v>15</v>
      </c>
      <c r="J16">
        <f>VLOOKUP('InputFile(Skill)'!J16, 検索用シート!$G$2:$H$3, 2, FALSE)</f>
        <v>-1</v>
      </c>
      <c r="K16">
        <v>2</v>
      </c>
      <c r="L16" t="str">
        <f>検索用シート!$J$8 &amp; 'InputFile(Skill)'!L16</f>
        <v>Sprites/Icon/Knife</v>
      </c>
      <c r="M16" t="str">
        <f>検索用シート!$J$2 &amp; 'InputFile(Skill)'!M16</f>
        <v>Effect/Skill/Knife</v>
      </c>
      <c r="N16" t="s">
        <v>196</v>
      </c>
      <c r="O16" t="str">
        <f>IF('InputFile(Skill)'!O16="", "", IFERROR(VLOOKUP('InputFile(Skill)'!O16, 検索用シート!$L$2:$M$14, 2, FALSE), ""))</f>
        <v/>
      </c>
      <c r="P16" t="str">
        <f>IF('InputFile(Skill)'!P16="", "", IFERROR(VLOOKUP('InputFile(Skill)'!P16, 検索用シート!$G$6:$H$7, 2, FALSE), ""))</f>
        <v/>
      </c>
      <c r="S16" t="s">
        <v>146</v>
      </c>
      <c r="T16">
        <v>3</v>
      </c>
      <c r="U16">
        <v>15</v>
      </c>
      <c r="V16" t="str">
        <f>VLOOKUP('InputFile(Skill)'!V16, 検索用シート!$A$9:$B$20, 2, FALSE)</f>
        <v>Straight</v>
      </c>
    </row>
    <row r="17" spans="1:22" x14ac:dyDescent="0.45">
      <c r="A17">
        <v>16</v>
      </c>
      <c r="B17" t="s">
        <v>176</v>
      </c>
      <c r="C17" t="str">
        <f>VLOOKUP('InputFile(Skill)'!C17, 検索用シート!$A$2:$B$6, 2, FALSE)</f>
        <v>Direction</v>
      </c>
      <c r="D17" t="str">
        <f>VLOOKUP('InputFile(Skill)'!D17, 検索用シート!$D$2:$E$5, 2, FALSE)</f>
        <v>Attack</v>
      </c>
      <c r="E17">
        <v>5</v>
      </c>
      <c r="F17">
        <v>10</v>
      </c>
      <c r="G17">
        <v>8</v>
      </c>
      <c r="H17">
        <v>0.5</v>
      </c>
      <c r="I17">
        <v>13</v>
      </c>
      <c r="J17">
        <f>VLOOKUP('InputFile(Skill)'!J17, 検索用シート!$G$2:$H$3, 2, FALSE)</f>
        <v>-1</v>
      </c>
      <c r="K17">
        <v>0</v>
      </c>
      <c r="L17" t="str">
        <f>検索用シート!$J$8 &amp; 'InputFile(Skill)'!L17</f>
        <v>Sprites/Icon/Grass</v>
      </c>
      <c r="M17" t="str">
        <f>検索用シート!$J$2 &amp; 'InputFile(Skill)'!M17</f>
        <v>Effect/Skill/Grass</v>
      </c>
      <c r="N17" t="s">
        <v>197</v>
      </c>
      <c r="O17" t="str">
        <f>IF('InputFile(Skill)'!O17="", "", IFERROR(VLOOKUP('InputFile(Skill)'!O17, 検索用シート!$L$2:$M$14, 2, FALSE), ""))</f>
        <v/>
      </c>
      <c r="P17" t="str">
        <f>IF('InputFile(Skill)'!P17="", "", IFERROR(VLOOKUP('InputFile(Skill)'!P17, 検索用シート!$G$6:$H$7, 2, FALSE), ""))</f>
        <v/>
      </c>
      <c r="S17" t="s">
        <v>181</v>
      </c>
      <c r="V17" t="str">
        <f>VLOOKUP('InputFile(Skill)'!V17, 検索用シート!$A$9:$B$20, 2, FALSE)</f>
        <v>Boomerang</v>
      </c>
    </row>
    <row r="18" spans="1:22" x14ac:dyDescent="0.45">
      <c r="A18">
        <v>17</v>
      </c>
      <c r="B18" t="s">
        <v>180</v>
      </c>
      <c r="C18" t="str">
        <f>VLOOKUP('InputFile(Skill)'!C18, 検索用シート!$A$2:$B$6, 2, FALSE)</f>
        <v>LookOn</v>
      </c>
      <c r="D18" t="str">
        <f>VLOOKUP('InputFile(Skill)'!D18, 検索用シート!$D$2:$E$5, 2, FALSE)</f>
        <v>Attack</v>
      </c>
      <c r="E18">
        <v>5</v>
      </c>
      <c r="F18">
        <v>10</v>
      </c>
      <c r="G18">
        <v>8</v>
      </c>
      <c r="H18">
        <v>0.3</v>
      </c>
      <c r="I18">
        <v>10</v>
      </c>
      <c r="J18">
        <f>VLOOKUP('InputFile(Skill)'!J18, 検索用シート!$G$2:$H$3, 2, FALSE)</f>
        <v>-1</v>
      </c>
      <c r="K18">
        <v>0</v>
      </c>
      <c r="L18" t="str">
        <f>検索用シート!$J$8 &amp; 'InputFile(Skill)'!L18</f>
        <v>Sprites/Icon/Shadow</v>
      </c>
      <c r="M18" t="str">
        <f>検索用シート!$J$2 &amp; 'InputFile(Skill)'!M18</f>
        <v>Effect/Skill/Shadow</v>
      </c>
      <c r="N18" t="s">
        <v>202</v>
      </c>
      <c r="O18" t="str">
        <f>IF('InputFile(Skill)'!O18="", "", IFERROR(VLOOKUP('InputFile(Skill)'!O18, 検索用シート!$L$2:$M$14, 2, FALSE), ""))</f>
        <v/>
      </c>
      <c r="P18" t="str">
        <f>IF('InputFile(Skill)'!P18="", "", IFERROR(VLOOKUP('InputFile(Skill)'!P18, 検索用シート!$G$6:$H$7, 2, FALSE), ""))</f>
        <v/>
      </c>
      <c r="S18" t="s">
        <v>178</v>
      </c>
      <c r="V18" t="str">
        <f>VLOOKUP('InputFile(Skill)'!V18, 検索用シート!$A$9:$B$20, 2, FALSE)</f>
        <v>Homing</v>
      </c>
    </row>
    <row r="19" spans="1:22" x14ac:dyDescent="0.45">
      <c r="A19">
        <v>18</v>
      </c>
      <c r="B19" t="s">
        <v>185</v>
      </c>
      <c r="C19" t="str">
        <f>VLOOKUP('InputFile(Skill)'!C19, 検索用シート!$A$2:$B$6, 2, FALSE)</f>
        <v>LookOn</v>
      </c>
      <c r="D19" t="str">
        <f>VLOOKUP('InputFile(Skill)'!D19, 検索用シート!$D$2:$E$5, 2, FALSE)</f>
        <v>Attack</v>
      </c>
      <c r="E19">
        <v>5</v>
      </c>
      <c r="F19">
        <v>10</v>
      </c>
      <c r="G19">
        <v>0</v>
      </c>
      <c r="H19">
        <v>0.3</v>
      </c>
      <c r="I19">
        <v>0</v>
      </c>
      <c r="J19">
        <f>VLOOKUP('InputFile(Skill)'!J19, 検索用シート!$G$2:$H$3, 2, FALSE)</f>
        <v>-1</v>
      </c>
      <c r="K19">
        <v>0</v>
      </c>
      <c r="L19" t="str">
        <f>検索用シート!$J$8 &amp; 'InputFile(Skill)'!L19</f>
        <v>Sprites/Icon/Water</v>
      </c>
      <c r="M19" t="str">
        <f>検索用シート!$J$2 &amp; 'InputFile(Skill)'!M19</f>
        <v>Effect/Skill/Water</v>
      </c>
      <c r="N19" t="s">
        <v>198</v>
      </c>
      <c r="O19" t="str">
        <f>IF('InputFile(Skill)'!O19="", "", IFERROR(VLOOKUP('InputFile(Skill)'!O19, 検索用シート!$L$2:$M$14, 2, FALSE), ""))</f>
        <v>ATK</v>
      </c>
      <c r="P19">
        <f>IF('InputFile(Skill)'!P19="", "", IFERROR(VLOOKUP('InputFile(Skill)'!P19, 検索用シート!$G$6:$H$7, 2, FALSE), ""))</f>
        <v>-1</v>
      </c>
      <c r="Q19">
        <v>10</v>
      </c>
      <c r="R19">
        <v>0.2</v>
      </c>
      <c r="S19" t="s">
        <v>187</v>
      </c>
      <c r="V19" t="str">
        <f>VLOOKUP('InputFile(Skill)'!V19, 検索用シート!$A$9:$B$20, 2, FALSE)</f>
        <v>TargetPosition</v>
      </c>
    </row>
    <row r="20" spans="1:22" x14ac:dyDescent="0.45">
      <c r="A20">
        <v>19</v>
      </c>
      <c r="B20" t="s">
        <v>189</v>
      </c>
      <c r="C20" t="str">
        <f>VLOOKUP('InputFile(Skill)'!C20, 検索用シート!$A$2:$B$6, 2, FALSE)</f>
        <v>LookOn</v>
      </c>
      <c r="D20" t="str">
        <f>VLOOKUP('InputFile(Skill)'!D20, 検索用シート!$D$2:$E$5, 2, FALSE)</f>
        <v>Attack</v>
      </c>
      <c r="E20">
        <v>0.5</v>
      </c>
      <c r="F20">
        <v>20</v>
      </c>
      <c r="G20">
        <v>8</v>
      </c>
      <c r="H20">
        <v>0.6</v>
      </c>
      <c r="I20">
        <v>0</v>
      </c>
      <c r="J20">
        <f>VLOOKUP('InputFile(Skill)'!J20, 検索用シート!$G$2:$H$3, 2, FALSE)</f>
        <v>-1</v>
      </c>
      <c r="K20">
        <v>0</v>
      </c>
      <c r="L20" t="str">
        <f>検索用シート!$J$8 &amp; 'InputFile(Skill)'!L20</f>
        <v>Sprites/Icon/Fire</v>
      </c>
      <c r="M20" t="str">
        <f>検索用シート!$J$2 &amp; 'InputFile(Skill)'!M20</f>
        <v>Effect/Skill/Fire</v>
      </c>
      <c r="N20" t="s">
        <v>199</v>
      </c>
      <c r="O20" t="str">
        <f>IF('InputFile(Skill)'!O20="", "", IFERROR(VLOOKUP('InputFile(Skill)'!O20, 検索用シート!$L$2:$M$14, 2, FALSE), ""))</f>
        <v/>
      </c>
      <c r="P20" t="str">
        <f>IF('InputFile(Skill)'!P20="", "", IFERROR(VLOOKUP('InputFile(Skill)'!P20, 検索用シート!$G$6:$H$7, 2, FALSE), ""))</f>
        <v/>
      </c>
      <c r="S20" t="s">
        <v>191</v>
      </c>
      <c r="V20" t="str">
        <f>VLOOKUP('InputFile(Skill)'!V20, 検索用シート!$A$9:$B$20, 2, FALSE)</f>
        <v>Area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20"/>
  <sheetViews>
    <sheetView topLeftCell="A2" workbookViewId="0">
      <selection activeCell="D11" sqref="D11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A9" t="s">
        <v>163</v>
      </c>
      <c r="B9" t="s">
        <v>151</v>
      </c>
      <c r="L9" t="s">
        <v>64</v>
      </c>
      <c r="M9" t="s">
        <v>85</v>
      </c>
    </row>
    <row r="10" spans="1:13" x14ac:dyDescent="0.45">
      <c r="A10" t="s">
        <v>164</v>
      </c>
      <c r="B10" t="s">
        <v>152</v>
      </c>
      <c r="L10" t="s">
        <v>65</v>
      </c>
      <c r="M10" t="s">
        <v>86</v>
      </c>
    </row>
    <row r="11" spans="1:13" x14ac:dyDescent="0.45">
      <c r="A11" t="s">
        <v>165</v>
      </c>
      <c r="B11" t="s">
        <v>174</v>
      </c>
      <c r="L11" t="s">
        <v>66</v>
      </c>
      <c r="M11" t="s">
        <v>87</v>
      </c>
    </row>
    <row r="12" spans="1:13" x14ac:dyDescent="0.45">
      <c r="A12" t="s">
        <v>188</v>
      </c>
      <c r="B12" t="s">
        <v>153</v>
      </c>
      <c r="L12" t="s">
        <v>67</v>
      </c>
      <c r="M12" t="s">
        <v>88</v>
      </c>
    </row>
    <row r="13" spans="1:13" x14ac:dyDescent="0.45">
      <c r="A13" t="s">
        <v>166</v>
      </c>
      <c r="B13" t="s">
        <v>154</v>
      </c>
      <c r="L13" t="s">
        <v>68</v>
      </c>
      <c r="M13" t="s">
        <v>89</v>
      </c>
    </row>
    <row r="14" spans="1:13" x14ac:dyDescent="0.45">
      <c r="A14" t="s">
        <v>167</v>
      </c>
      <c r="B14" t="s">
        <v>155</v>
      </c>
    </row>
    <row r="15" spans="1:13" x14ac:dyDescent="0.45">
      <c r="A15" t="s">
        <v>168</v>
      </c>
      <c r="B15" t="s">
        <v>156</v>
      </c>
    </row>
    <row r="16" spans="1:13" x14ac:dyDescent="0.45">
      <c r="A16" t="s">
        <v>169</v>
      </c>
      <c r="B16" t="s">
        <v>157</v>
      </c>
    </row>
    <row r="17" spans="1:2" x14ac:dyDescent="0.45">
      <c r="A17" t="s">
        <v>170</v>
      </c>
      <c r="B17" t="s">
        <v>158</v>
      </c>
    </row>
    <row r="18" spans="1:2" x14ac:dyDescent="0.45">
      <c r="A18" t="s">
        <v>171</v>
      </c>
      <c r="B18" t="s">
        <v>159</v>
      </c>
    </row>
    <row r="19" spans="1:2" x14ac:dyDescent="0.45">
      <c r="A19" t="s">
        <v>172</v>
      </c>
      <c r="B19" t="s">
        <v>160</v>
      </c>
    </row>
    <row r="20" spans="1:2" x14ac:dyDescent="0.45">
      <c r="A20" t="s">
        <v>173</v>
      </c>
      <c r="B20" t="s">
        <v>161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V20"/>
  <sheetViews>
    <sheetView tabSelected="1" zoomScaleNormal="100" workbookViewId="0">
      <selection activeCell="G14" sqref="G14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0.59765625" bestFit="1" customWidth="1"/>
    <col min="22" max="22" width="10.296875" bestFit="1" customWidth="1"/>
  </cols>
  <sheetData>
    <row r="1" spans="1:2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15</v>
      </c>
      <c r="J2" t="s">
        <v>31</v>
      </c>
      <c r="K2">
        <v>0</v>
      </c>
      <c r="L2" t="s">
        <v>124</v>
      </c>
      <c r="M2" t="s">
        <v>53</v>
      </c>
      <c r="N2" t="s">
        <v>125</v>
      </c>
      <c r="S2" t="s">
        <v>42</v>
      </c>
      <c r="V2" t="s">
        <v>164</v>
      </c>
    </row>
    <row r="3" spans="1:22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123</v>
      </c>
      <c r="M3" t="s">
        <v>51</v>
      </c>
      <c r="N3" t="s">
        <v>125</v>
      </c>
      <c r="O3" t="s">
        <v>78</v>
      </c>
      <c r="P3" t="s">
        <v>73</v>
      </c>
      <c r="Q3">
        <v>5</v>
      </c>
      <c r="R3">
        <v>0.2</v>
      </c>
      <c r="S3" t="s">
        <v>52</v>
      </c>
      <c r="V3" t="s">
        <v>164</v>
      </c>
    </row>
    <row r="4" spans="1:22" x14ac:dyDescent="0.45">
      <c r="A4">
        <f>ROW()-1</f>
        <v>3</v>
      </c>
      <c r="B4" t="s">
        <v>117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5</v>
      </c>
      <c r="L4" t="s">
        <v>120</v>
      </c>
      <c r="M4" t="s">
        <v>118</v>
      </c>
      <c r="N4" t="s">
        <v>125</v>
      </c>
      <c r="S4" t="s">
        <v>119</v>
      </c>
      <c r="V4" t="s">
        <v>164</v>
      </c>
    </row>
    <row r="5" spans="1:22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121</v>
      </c>
      <c r="M5" t="s">
        <v>55</v>
      </c>
      <c r="N5" t="s">
        <v>210</v>
      </c>
      <c r="S5" t="s">
        <v>56</v>
      </c>
      <c r="V5" t="s">
        <v>165</v>
      </c>
    </row>
    <row r="6" spans="1:22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102</v>
      </c>
      <c r="M6" t="s">
        <v>91</v>
      </c>
      <c r="N6" t="s">
        <v>126</v>
      </c>
      <c r="O6" t="s">
        <v>92</v>
      </c>
      <c r="P6" t="s">
        <v>73</v>
      </c>
      <c r="Q6">
        <v>3</v>
      </c>
      <c r="R6">
        <v>0</v>
      </c>
      <c r="S6" t="s">
        <v>93</v>
      </c>
      <c r="V6" t="s">
        <v>165</v>
      </c>
    </row>
    <row r="7" spans="1:22" x14ac:dyDescent="0.45">
      <c r="A7">
        <f t="shared" si="0"/>
        <v>6</v>
      </c>
      <c r="B7" t="s">
        <v>179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103</v>
      </c>
      <c r="M7" t="s">
        <v>94</v>
      </c>
      <c r="N7" t="s">
        <v>127</v>
      </c>
      <c r="O7" t="s">
        <v>77</v>
      </c>
      <c r="P7" t="s">
        <v>73</v>
      </c>
      <c r="Q7">
        <v>10</v>
      </c>
      <c r="R7">
        <v>0.1</v>
      </c>
      <c r="S7" t="s">
        <v>177</v>
      </c>
      <c r="V7" t="s">
        <v>165</v>
      </c>
    </row>
    <row r="8" spans="1:22" x14ac:dyDescent="0.45">
      <c r="A8">
        <f t="shared" si="0"/>
        <v>7</v>
      </c>
      <c r="B8" t="s">
        <v>95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122</v>
      </c>
      <c r="M8" t="s">
        <v>96</v>
      </c>
      <c r="N8" t="s">
        <v>128</v>
      </c>
      <c r="O8" t="s">
        <v>60</v>
      </c>
      <c r="P8" t="s">
        <v>73</v>
      </c>
      <c r="Q8">
        <v>10</v>
      </c>
      <c r="R8">
        <v>2</v>
      </c>
      <c r="S8" t="s">
        <v>97</v>
      </c>
      <c r="V8" t="s">
        <v>165</v>
      </c>
    </row>
    <row r="9" spans="1:22" x14ac:dyDescent="0.45">
      <c r="A9">
        <f t="shared" si="0"/>
        <v>8</v>
      </c>
      <c r="B9" t="s">
        <v>98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104</v>
      </c>
      <c r="M9" t="s">
        <v>99</v>
      </c>
      <c r="N9" t="s">
        <v>201</v>
      </c>
      <c r="O9" t="s">
        <v>76</v>
      </c>
      <c r="P9" t="s">
        <v>100</v>
      </c>
      <c r="Q9">
        <v>10</v>
      </c>
      <c r="R9">
        <v>1.2</v>
      </c>
      <c r="S9" t="s">
        <v>101</v>
      </c>
      <c r="V9" t="s">
        <v>162</v>
      </c>
    </row>
    <row r="10" spans="1:22" x14ac:dyDescent="0.45">
      <c r="A10">
        <f t="shared" ref="A10:A16" si="1">ROW()-1</f>
        <v>9</v>
      </c>
      <c r="B10" t="s">
        <v>105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106</v>
      </c>
      <c r="M10" t="s">
        <v>116</v>
      </c>
      <c r="N10" t="s">
        <v>201</v>
      </c>
      <c r="O10" t="s">
        <v>77</v>
      </c>
      <c r="P10" t="s">
        <v>100</v>
      </c>
      <c r="Q10">
        <v>10</v>
      </c>
      <c r="R10">
        <v>1.5</v>
      </c>
      <c r="S10" t="s">
        <v>107</v>
      </c>
      <c r="V10" t="s">
        <v>162</v>
      </c>
    </row>
    <row r="11" spans="1:22" x14ac:dyDescent="0.45">
      <c r="A11">
        <f t="shared" si="1"/>
        <v>10</v>
      </c>
      <c r="B11" t="s">
        <v>108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110</v>
      </c>
      <c r="M11" t="s">
        <v>111</v>
      </c>
      <c r="N11" t="s">
        <v>201</v>
      </c>
      <c r="O11" t="s">
        <v>78</v>
      </c>
      <c r="P11" t="s">
        <v>100</v>
      </c>
      <c r="Q11">
        <v>10</v>
      </c>
      <c r="R11">
        <v>1.5</v>
      </c>
      <c r="S11" t="s">
        <v>109</v>
      </c>
      <c r="V11" t="s">
        <v>162</v>
      </c>
    </row>
    <row r="12" spans="1:22" x14ac:dyDescent="0.45">
      <c r="A12">
        <f t="shared" si="1"/>
        <v>11</v>
      </c>
      <c r="B12" t="s">
        <v>112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113</v>
      </c>
      <c r="M12" t="s">
        <v>114</v>
      </c>
      <c r="N12" t="s">
        <v>193</v>
      </c>
      <c r="S12" t="s">
        <v>115</v>
      </c>
      <c r="V12" t="s">
        <v>162</v>
      </c>
    </row>
    <row r="13" spans="1:22" x14ac:dyDescent="0.45">
      <c r="A13">
        <f t="shared" si="1"/>
        <v>12</v>
      </c>
      <c r="B13" t="s">
        <v>175</v>
      </c>
      <c r="C13" t="s">
        <v>12</v>
      </c>
      <c r="D13" t="s">
        <v>21</v>
      </c>
      <c r="E13">
        <v>10</v>
      </c>
      <c r="F13">
        <v>10</v>
      </c>
      <c r="G13">
        <v>0</v>
      </c>
      <c r="H13">
        <v>0.8</v>
      </c>
      <c r="I13">
        <v>0</v>
      </c>
      <c r="J13" t="s">
        <v>50</v>
      </c>
      <c r="K13">
        <v>0</v>
      </c>
      <c r="L13" t="s">
        <v>134</v>
      </c>
      <c r="M13" t="s">
        <v>134</v>
      </c>
      <c r="N13" t="s">
        <v>134</v>
      </c>
      <c r="S13" t="s">
        <v>135</v>
      </c>
      <c r="V13" t="s">
        <v>165</v>
      </c>
    </row>
    <row r="14" spans="1:22" x14ac:dyDescent="0.45">
      <c r="A14">
        <f t="shared" si="1"/>
        <v>13</v>
      </c>
      <c r="B14" t="s">
        <v>137</v>
      </c>
      <c r="C14" t="s">
        <v>11</v>
      </c>
      <c r="D14" t="s">
        <v>21</v>
      </c>
      <c r="E14">
        <v>1</v>
      </c>
      <c r="F14">
        <v>10</v>
      </c>
      <c r="G14">
        <v>30</v>
      </c>
      <c r="H14">
        <v>0</v>
      </c>
      <c r="I14">
        <v>20</v>
      </c>
      <c r="J14" t="s">
        <v>50</v>
      </c>
      <c r="K14">
        <v>0</v>
      </c>
      <c r="L14" t="s">
        <v>149</v>
      </c>
      <c r="M14" t="s">
        <v>149</v>
      </c>
      <c r="N14" t="s">
        <v>206</v>
      </c>
      <c r="S14" t="s">
        <v>138</v>
      </c>
      <c r="T14">
        <v>10</v>
      </c>
      <c r="U14">
        <v>60</v>
      </c>
      <c r="V14" t="s">
        <v>164</v>
      </c>
    </row>
    <row r="15" spans="1:22" x14ac:dyDescent="0.45">
      <c r="A15">
        <f t="shared" si="1"/>
        <v>14</v>
      </c>
      <c r="B15" t="s">
        <v>140</v>
      </c>
      <c r="C15" t="s">
        <v>11</v>
      </c>
      <c r="D15" t="s">
        <v>21</v>
      </c>
      <c r="E15">
        <v>8</v>
      </c>
      <c r="F15">
        <v>15</v>
      </c>
      <c r="G15">
        <v>20</v>
      </c>
      <c r="H15">
        <v>0.3</v>
      </c>
      <c r="I15">
        <v>30</v>
      </c>
      <c r="J15" t="s">
        <v>50</v>
      </c>
      <c r="K15">
        <v>0</v>
      </c>
      <c r="L15" t="s">
        <v>141</v>
      </c>
      <c r="M15" t="s">
        <v>141</v>
      </c>
      <c r="N15" t="s">
        <v>207</v>
      </c>
      <c r="S15" t="s">
        <v>142</v>
      </c>
      <c r="V15" t="s">
        <v>164</v>
      </c>
    </row>
    <row r="16" spans="1:22" x14ac:dyDescent="0.45">
      <c r="A16">
        <f t="shared" si="1"/>
        <v>15</v>
      </c>
      <c r="B16" t="s">
        <v>144</v>
      </c>
      <c r="C16" t="s">
        <v>11</v>
      </c>
      <c r="D16" t="s">
        <v>21</v>
      </c>
      <c r="E16">
        <v>3</v>
      </c>
      <c r="F16">
        <v>10</v>
      </c>
      <c r="G16">
        <v>0</v>
      </c>
      <c r="H16">
        <v>0.2</v>
      </c>
      <c r="I16">
        <v>15</v>
      </c>
      <c r="J16" t="s">
        <v>50</v>
      </c>
      <c r="K16">
        <v>2</v>
      </c>
      <c r="L16" t="s">
        <v>145</v>
      </c>
      <c r="M16" t="s">
        <v>145</v>
      </c>
      <c r="N16" t="s">
        <v>208</v>
      </c>
      <c r="S16" t="s">
        <v>146</v>
      </c>
      <c r="T16">
        <v>3</v>
      </c>
      <c r="U16">
        <v>15</v>
      </c>
      <c r="V16" t="s">
        <v>164</v>
      </c>
    </row>
    <row r="17" spans="1:22" x14ac:dyDescent="0.45">
      <c r="A17">
        <f>ROW()-1</f>
        <v>16</v>
      </c>
      <c r="B17" t="s">
        <v>176</v>
      </c>
      <c r="C17" t="s">
        <v>11</v>
      </c>
      <c r="D17" t="s">
        <v>21</v>
      </c>
      <c r="E17">
        <v>5</v>
      </c>
      <c r="F17">
        <v>10</v>
      </c>
      <c r="G17">
        <v>8</v>
      </c>
      <c r="H17">
        <v>0.5</v>
      </c>
      <c r="I17">
        <v>13</v>
      </c>
      <c r="J17" t="s">
        <v>50</v>
      </c>
      <c r="K17">
        <v>0</v>
      </c>
      <c r="L17" t="s">
        <v>183</v>
      </c>
      <c r="M17" t="s">
        <v>183</v>
      </c>
      <c r="N17" t="s">
        <v>209</v>
      </c>
      <c r="S17" t="s">
        <v>181</v>
      </c>
      <c r="V17" t="s">
        <v>169</v>
      </c>
    </row>
    <row r="18" spans="1:22" x14ac:dyDescent="0.45">
      <c r="A18">
        <f>ROW()-1</f>
        <v>17</v>
      </c>
      <c r="B18" t="s">
        <v>180</v>
      </c>
      <c r="C18" t="s">
        <v>12</v>
      </c>
      <c r="D18" t="s">
        <v>21</v>
      </c>
      <c r="E18">
        <v>5</v>
      </c>
      <c r="F18">
        <v>10</v>
      </c>
      <c r="G18">
        <v>8</v>
      </c>
      <c r="H18">
        <v>0.3</v>
      </c>
      <c r="I18">
        <v>10</v>
      </c>
      <c r="J18" t="s">
        <v>50</v>
      </c>
      <c r="K18">
        <v>0</v>
      </c>
      <c r="L18" t="s">
        <v>184</v>
      </c>
      <c r="M18" t="s">
        <v>184</v>
      </c>
      <c r="N18" t="s">
        <v>203</v>
      </c>
      <c r="S18" t="s">
        <v>178</v>
      </c>
      <c r="V18" t="s">
        <v>182</v>
      </c>
    </row>
    <row r="19" spans="1:22" x14ac:dyDescent="0.45">
      <c r="A19">
        <f>ROW()-1</f>
        <v>18</v>
      </c>
      <c r="B19" t="s">
        <v>185</v>
      </c>
      <c r="C19" t="s">
        <v>12</v>
      </c>
      <c r="D19" t="s">
        <v>21</v>
      </c>
      <c r="E19">
        <v>5</v>
      </c>
      <c r="F19">
        <v>10</v>
      </c>
      <c r="G19">
        <v>0</v>
      </c>
      <c r="H19">
        <v>0.3</v>
      </c>
      <c r="I19">
        <v>0</v>
      </c>
      <c r="J19" t="s">
        <v>50</v>
      </c>
      <c r="K19">
        <v>0</v>
      </c>
      <c r="L19" t="s">
        <v>186</v>
      </c>
      <c r="M19" t="s">
        <v>186</v>
      </c>
      <c r="N19" t="s">
        <v>204</v>
      </c>
      <c r="O19" t="s">
        <v>76</v>
      </c>
      <c r="P19" t="s">
        <v>73</v>
      </c>
      <c r="Q19">
        <v>10</v>
      </c>
      <c r="R19">
        <v>0.2</v>
      </c>
      <c r="S19" t="s">
        <v>187</v>
      </c>
      <c r="V19" t="s">
        <v>165</v>
      </c>
    </row>
    <row r="20" spans="1:22" x14ac:dyDescent="0.45">
      <c r="A20">
        <f>ROW()-1</f>
        <v>19</v>
      </c>
      <c r="B20" t="s">
        <v>189</v>
      </c>
      <c r="C20" t="s">
        <v>12</v>
      </c>
      <c r="D20" t="s">
        <v>21</v>
      </c>
      <c r="E20">
        <v>0.5</v>
      </c>
      <c r="F20">
        <v>20</v>
      </c>
      <c r="G20">
        <v>8</v>
      </c>
      <c r="H20">
        <v>0.6</v>
      </c>
      <c r="I20">
        <v>0</v>
      </c>
      <c r="J20" t="s">
        <v>50</v>
      </c>
      <c r="K20">
        <v>0</v>
      </c>
      <c r="L20" t="s">
        <v>190</v>
      </c>
      <c r="M20" t="s">
        <v>190</v>
      </c>
      <c r="N20" t="s">
        <v>205</v>
      </c>
      <c r="S20" t="s">
        <v>191</v>
      </c>
      <c r="V20" t="s">
        <v>188</v>
      </c>
    </row>
  </sheetData>
  <phoneticPr fontId="1"/>
  <dataValidations count="3">
    <dataValidation type="decimal" allowBlank="1" showInputMessage="1" showErrorMessage="1" sqref="E2:I20" xr:uid="{1DD7AC07-48F3-4158-AFAE-9A67E1197F38}">
      <formula1>0</formula1>
      <formula2>600</formula2>
    </dataValidation>
    <dataValidation type="whole" allowBlank="1" showInputMessage="1" showErrorMessage="1" sqref="K2:K20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24</xdr:row>
                    <xdr:rowOff>7620</xdr:rowOff>
                  </from>
                  <to>
                    <xdr:col>19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A0A6037-F450-4342-8C2E-1B714890B523}">
          <x14:formula1>
            <xm:f>検索用シート!$A$2:$A$6</xm:f>
          </x14:formula1>
          <xm:sqref>C2:C20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D2:D20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J2:J20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P2:P20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O2:O20</xm:sqref>
        </x14:dataValidation>
        <x14:dataValidation type="list" allowBlank="1" showInputMessage="1" showErrorMessage="1" xr:uid="{404A9E6F-0117-4C65-AE48-C26404715405}">
          <x14:formula1>
            <xm:f>検索用シート!$A$9:$A$20</xm:f>
          </x14:formula1>
          <xm:sqref>V2:V20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2026-09-29T05:06:19Z</dcterms:modified>
</cp:coreProperties>
</file>