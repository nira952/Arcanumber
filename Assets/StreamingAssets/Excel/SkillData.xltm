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FAEFF57C-2F5D-4283-A1C9-2DC237D85A22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<sst xmlns="http://schemas.openxmlformats.org/spreadsheetml/2006/main" count="301" uniqueCount="179">
  <si>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</si>
  <si>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</si>
  <si>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</si>
  <si>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</si>
  <si>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</si>
  <si>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</si>
  <si>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</si>
  <si>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</si>
  <si>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</si>
  <si>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</si>
  <si>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</si>
  <si>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</si>
  <si>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</si>
  <si>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</si>
  <si>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</si>
  <si>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</si>
  <si>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</si>
  <si>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</si>
  <si>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</si>
  <si>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</si>
  <si>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</si>
  <si>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</si>
  <si>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</si>
  <si>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</si>
  <si>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</si>
  <si>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</si>
  <si>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</si>
  <si>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</si>
  <si>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</si>
  <si>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</si>
  <si>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</si>
  <si>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</si>
  <si>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</si>
  <si>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</si>
  <si>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</si>
  <si>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</si>
  <si>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</si>
  <si>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</si>
  <si>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</si>
  <si>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</si>
  <si>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</si>
  <si>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</si>
  <si>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</si>
  <si>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</si>
  <si>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</si>
  <si>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</si>
  <si>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</si>
  <si>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</si>
  <si>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</si>
  <si>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</si>
  <si>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</si>
  <si>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</si>
  <si>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</si>
  <si>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</si>
  <si>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</si>
  <si>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</si>
  <si>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</si>
  <si>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</si>
  <si>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</si>
  <si>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</si>
  <si>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</si>
  <si>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</si>
  <si>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</si>
  <si>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</si>
  <si>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</si>
  <si>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</si>
  <si>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</si>
  <si>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</si>
  <si>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</si>
  <si>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</si>
  <si>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</si>
  <si>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</si>
  <si>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</si>
  <si>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</si>
  <si>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</si>
  <si>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</si>
  <si>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</si>
  <si>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</si>
  <si>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</si>
  <si>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</si>
  <si>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</si>
  <si>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</si>
  <si>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</si>
  <si>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</si>
  <si>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</si>
  <si>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</si>
  <si>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</si>
  <si>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</si>
  <si>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</si>
  <si>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</si>
  <si>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</si>
  <si>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</si>
  <si>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</si>
  <si>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</si>
  <si>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</si>
  <si>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</si>
  <si>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</si>
  <si>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</si>
  <si>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</si>
  <si>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</si>
  <si>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</si>
  <si>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</si>
  <si>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</si>
  <si>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</si>
  <si>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</si>
  <si>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</si>
  <si>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</si>
  <si>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</si>
  <si>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</si>
  <si>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</si>
  <si>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</si>
  <si>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</si>
  <si>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</si>
  <si>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</si>
  <si>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</si>
  <si>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</si>
  <si>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</si>
  <si>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</si>
  <si>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</si>
  <si>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</si>
  <si>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</si>
  <si>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</si>
  <si>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</si>
  <si>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</si>
  <si>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</si>
  <si>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</si>
  <si>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</si>
  <si>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</si>
  <si>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</si>
  <si>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</si>
  <si>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</si>
  <si>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</si>
  <si>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</si>
  <si>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</si>
  <si>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</si>
  <si>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雷</t>
    <rPh sb="0" eb="1">
      <t>カミナリ</t>
    </rPh>
    <phoneticPr fontId="1"/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</si>
  <si>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</si>
  <si>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</si>
  <si>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</si>
  <si>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</si>
  <si>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</si>
  <si>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</si>
  <si>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</si>
  <si>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</si>
  <si>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</si>
  <si>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</si>
  <si>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</si>
  <si>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</si>
  <si>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</si>
  <si>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</si>
  <si>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</si>
  <si>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</si>
  <si>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</si>
  <si>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</si>
  <si>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</si>
  <si>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</si>
  <si>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</si>
  <si>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</si>
  <si>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</si>
  <si>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</si>
  <si>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</si>
  <si>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</si>
  <si>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</si>
  <si>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</si>
  <si>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</si>
  <si>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</si>
  <si>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</si>
  <si>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</si>
  <si>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</si>
  <si>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範囲攻撃</t>
    <rPh sb="0" eb="4">
      <t>ハンイコウゲキ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</si>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</sst>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20</xdr:row>
          <xdr:rowOff>7620</xdr:rowOff>
        </xdr:from>
        <xdr:to>
          <xdr:col>19</xdr:col>
          <xdr:colOff>7620</xdr:colOff>
          <xdr:row>22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8DCD0B-A407-4F4D-B963-97F8C257985C}" name="OutputTable" displayName="OutputTable" ref="A1:V16" totalsRowShown="0">
  <autoFilter ref="A1:V16" xr:uid="{B2D3A303-8445-4760-B1FD-8244C09F1203}"/>
  <tableColumns count="22">
    <tableColumn id="1" xr3:uid="{619C6FB3-6BF1-44B6-9A27-5E7E1EE8EB24}" name="No"/>
    <tableColumn id="2" xr3:uid="{C12279EE-70A1-4892-A244-603C036F5158}" name="名前"/>
    <tableColumn id="3" xr3:uid="{B26E638F-F173-4D43-8582-3BB593B6157F}" name="ターゲット方法">
      <calculatedColumnFormula>VLOOKUP('InputFile(Skill)'!C2, 検索用シート!$A$2:$B$6, 2, FALSE)</calculatedColumnFormula>
    </tableColumn>
    <tableColumn id="4" xr3:uid="{45DB61A3-0681-4EC7-AE44-E268120D3729}" name="攻撃方法">
      <calculatedColumnFormula>VLOOKUP('InputFile(Skill)'!D2, 検索用シート!$D$2:$E$5, 2, FALSE)</calculatedColumnFormula>
    </tableColumn>
    <tableColumn id="5" xr3:uid="{25CD9C5C-30C9-4F41-9A8B-552C4FDB22CC}" name="値"/>
    <tableColumn id="6" xr3:uid="{F4B10238-DCCE-44E4-9184-70AFE3F1F45C}" name="クールタイム"/>
    <tableColumn id="7" xr3:uid="{3317BBDF-77E8-4F77-92C5-F1577D3E684C}" name="持続時間"/>
    <tableColumn id="8" xr3:uid="{637A6963-FBFF-4429-A90B-D9B8BCB901C0}" name="予備動作時間"/>
    <tableColumn id="9" xr3:uid="{A93524D9-5CD9-4901-B41E-F0A1CA774C34}" name="移動速度"/>
    <tableColumn id="10" xr3:uid="{344D3AE8-60BA-447D-84A2-64260D6CE639}" name="貫通">
      <calculatedColumnFormula>VLOOKUP('InputFile(Skill)'!J2, 検索用シート!$G$2:$H$3, 2, FALSE)</calculatedColumnFormula>
    </tableColumn>
    <tableColumn id="11" xr3:uid="{ADB23976-0E21-4332-990C-06574F07E82D}" name="反射回数"/>
    <tableColumn id="12" xr3:uid="{8F9EC251-061D-4C22-8E05-D9DE4C65F1A0}" name="画像パス">
      <calculatedColumnFormula>検索用シート!$J$8 &amp; 'InputFile(Skill)'!L2</calculatedColumnFormula>
    </tableColumn>
    <tableColumn id="13" xr3:uid="{0F6D7037-226D-406C-9ABC-10410DC8D5B9}" name="スキルオブジェクト">
      <calculatedColumnFormula>検索用シート!$J$2 &amp; 'InputFile(Skill)'!M2</calculatedColumnFormula>
    </tableColumn>
    <tableColumn id="14" xr3:uid="{C028E067-E435-4170-A213-EACD72D0504C}" name="効果音"/>
    <tableColumn id="15" xr3:uid="{AEECFE1D-59FD-45DE-8AE1-5A3EFEA6F9FB}" name="付与するエフェクト">
      <calculatedColumnFormula>IF('InputFile(Skill)'!O2="", "", IFERROR(VLOOKUP('InputFile(Skill)'!O2, 検索用シート!$L$2:$M$14, 2, FALSE), ""))</calculatedColumnFormula>
    </tableColumn>
    <tableColumn id="16" xr3:uid="{EB9F4513-56FB-494B-9836-7B08A55D0CA2}" name="バフか">
      <calculatedColumnFormula>IF('InputFile(Skill)'!P2="", "", IFERROR(VLOOKUP('InputFile(Skill)'!P2, 検索用シート!$G$6:$H$7, 2, FALSE), ""))</calculatedColumnFormula>
    </tableColumn>
    <tableColumn id="17" xr3:uid="{A609B248-A2CA-4623-9D14-4C64E49E15D1}" name="エフェクト持続時間"/>
    <tableColumn id="18" xr3:uid="{873804CA-1A1F-4F31-BD22-B05E41E0419E}" name="エフェクト数値"/>
    <tableColumn id="19" xr3:uid="{04248A65-2822-4840-B371-72EE81C90C00}" name="説明"/>
    <tableColumn id="20" xr3:uid="{8E4A409D-DC53-4C5B-B464-3368FAC82A8D}" name="生成個数"/>
    <tableColumn id="21" xr3:uid="{DD4B3996-36EF-4B0B-981B-B70BA08489BB}" name="角度"/>
    <tableColumn id="22" xr3:uid="{D0D14064-8CF3-4089-BC7F-92AEA45289C4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16" totalsRowShown="0">
  <autoFilter ref="A1:V16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16"/>
  <sheetViews>
    <sheetView topLeftCell="M1" workbookViewId="0">
      <selection sqref="A1:V16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150</v>
      </c>
      <c r="U1" t="s">
        <v>151</v>
      </c>
      <c r="V1" t="s">
        <v>153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131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131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131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132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133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134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135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136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138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139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141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142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145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146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149</v>
      </c>
      <c r="T16">
        <v>3</v>
      </c>
      <c r="U16">
        <v>15</v>
      </c>
      <c r="V16" t="str">
        <f>VLOOKUP('InputFile(Skill)'!V16, 検索用シート!$A$9:$B$20, 2, FALSE)</f>
        <v>Straight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B12" sqref="B12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166</v>
      </c>
      <c r="B9" t="s">
        <v>154</v>
      </c>
      <c r="L9" t="s">
        <v>64</v>
      </c>
      <c r="M9" t="s">
        <v>85</v>
      </c>
    </row>
    <row r="10" spans="1:13" x14ac:dyDescent="0.45">
      <c r="A10" t="s">
        <v>167</v>
      </c>
      <c r="B10" t="s">
        <v>155</v>
      </c>
      <c r="L10" t="s">
        <v>65</v>
      </c>
      <c r="M10" t="s">
        <v>86</v>
      </c>
    </row>
    <row r="11" spans="1:13" x14ac:dyDescent="0.45">
      <c r="A11" t="s">
        <v>168</v>
      </c>
      <c r="B11" t="s">
        <v>178</v>
      </c>
      <c r="L11" t="s">
        <v>66</v>
      </c>
      <c r="M11" t="s">
        <v>87</v>
      </c>
    </row>
    <row r="12" spans="1:13" x14ac:dyDescent="0.45">
      <c r="A12" t="s">
        <v>169</v>
      </c>
      <c r="B12" t="s">
        <v>156</v>
      </c>
      <c r="L12" t="s">
        <v>67</v>
      </c>
      <c r="M12" t="s">
        <v>88</v>
      </c>
    </row>
    <row r="13" spans="1:13" x14ac:dyDescent="0.45">
      <c r="A13" t="s">
        <v>170</v>
      </c>
      <c r="B13" t="s">
        <v>157</v>
      </c>
      <c r="L13" t="s">
        <v>68</v>
      </c>
      <c r="M13" t="s">
        <v>89</v>
      </c>
    </row>
    <row r="14" spans="1:13" x14ac:dyDescent="0.45">
      <c r="A14" t="s">
        <v>171</v>
      </c>
      <c r="B14" t="s">
        <v>158</v>
      </c>
    </row>
    <row r="15" spans="1:13" x14ac:dyDescent="0.45">
      <c r="A15" t="s">
        <v>172</v>
      </c>
      <c r="B15" t="s">
        <v>159</v>
      </c>
    </row>
    <row r="16" spans="1:13" x14ac:dyDescent="0.45">
      <c r="A16" t="s">
        <v>173</v>
      </c>
      <c r="B16" t="s">
        <v>160</v>
      </c>
    </row>
    <row r="17" spans="1:2" x14ac:dyDescent="0.45">
      <c r="A17" t="s">
        <v>174</v>
      </c>
      <c r="B17" t="s">
        <v>161</v>
      </c>
    </row>
    <row r="18" spans="1:2" x14ac:dyDescent="0.45">
      <c r="A18" t="s">
        <v>175</v>
      </c>
      <c r="B18" t="s">
        <v>162</v>
      </c>
    </row>
    <row r="19" spans="1:2" x14ac:dyDescent="0.45">
      <c r="A19" t="s">
        <v>176</v>
      </c>
      <c r="B19" t="s">
        <v>163</v>
      </c>
    </row>
    <row r="20" spans="1:2" x14ac:dyDescent="0.45">
      <c r="A20" t="s">
        <v>177</v>
      </c>
      <c r="B20" t="s">
        <v>164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16"/>
  <sheetViews>
    <sheetView tabSelected="1" topLeftCell="K1" workbookViewId="0">
      <selection activeCell="V3" sqref="V3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150</v>
      </c>
      <c r="U1" t="s">
        <v>151</v>
      </c>
      <c r="V1" t="s">
        <v>153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126</v>
      </c>
      <c r="M2" t="s">
        <v>53</v>
      </c>
      <c r="N2" t="s">
        <v>127</v>
      </c>
      <c r="S2" t="s">
        <v>42</v>
      </c>
      <c r="V2" t="s">
        <v>167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125</v>
      </c>
      <c r="M3" t="s">
        <v>51</v>
      </c>
      <c r="N3" t="s">
        <v>127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167</v>
      </c>
    </row>
    <row r="4" spans="1:22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122</v>
      </c>
      <c r="M4" t="s">
        <v>120</v>
      </c>
      <c r="N4" t="s">
        <v>127</v>
      </c>
      <c r="S4" t="s">
        <v>121</v>
      </c>
      <c r="V4" t="s">
        <v>167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123</v>
      </c>
      <c r="M5" t="s">
        <v>55</v>
      </c>
      <c r="S5" t="s">
        <v>56</v>
      </c>
      <c r="V5" t="s">
        <v>168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N6" t="s">
        <v>128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168</v>
      </c>
    </row>
    <row r="7" spans="1:22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N7" t="s">
        <v>129</v>
      </c>
      <c r="O7" t="s">
        <v>77</v>
      </c>
      <c r="P7" t="s">
        <v>73</v>
      </c>
      <c r="Q7">
        <v>10</v>
      </c>
      <c r="R7">
        <v>0.1</v>
      </c>
      <c r="S7" t="s">
        <v>96</v>
      </c>
      <c r="V7" t="s">
        <v>168</v>
      </c>
    </row>
    <row r="8" spans="1:22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124</v>
      </c>
      <c r="M8" t="s">
        <v>98</v>
      </c>
      <c r="N8" t="s">
        <v>130</v>
      </c>
      <c r="O8" t="s">
        <v>60</v>
      </c>
      <c r="P8" t="s">
        <v>73</v>
      </c>
      <c r="Q8">
        <v>10</v>
      </c>
      <c r="R8">
        <v>2</v>
      </c>
      <c r="S8" t="s">
        <v>99</v>
      </c>
      <c r="V8" t="s">
        <v>168</v>
      </c>
    </row>
    <row r="9" spans="1:22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  <c r="V9" t="s">
        <v>165</v>
      </c>
    </row>
    <row r="10" spans="1:22" x14ac:dyDescent="0.45">
      <c r="A10">
        <f t="shared" ref="A10:A16" si="1"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  <c r="V10" t="s">
        <v>165</v>
      </c>
    </row>
    <row r="11" spans="1:22" x14ac:dyDescent="0.45">
      <c r="A11">
        <f t="shared" si="1"/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  <c r="V11" t="s">
        <v>165</v>
      </c>
    </row>
    <row r="12" spans="1:22" x14ac:dyDescent="0.45">
      <c r="A12">
        <f t="shared" si="1"/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  <c r="V12" t="s">
        <v>165</v>
      </c>
    </row>
    <row r="13" spans="1:22" x14ac:dyDescent="0.45">
      <c r="A13">
        <f t="shared" si="1"/>
        <v>12</v>
      </c>
      <c r="B13" t="s">
        <v>135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137</v>
      </c>
      <c r="M13" t="s">
        <v>137</v>
      </c>
      <c r="N13" t="s">
        <v>137</v>
      </c>
      <c r="S13" t="s">
        <v>138</v>
      </c>
      <c r="V13" t="s">
        <v>168</v>
      </c>
    </row>
    <row r="14" spans="1:22" x14ac:dyDescent="0.45">
      <c r="A14">
        <f t="shared" si="1"/>
        <v>13</v>
      </c>
      <c r="B14" t="s">
        <v>140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152</v>
      </c>
      <c r="M14" t="s">
        <v>152</v>
      </c>
      <c r="S14" t="s">
        <v>141</v>
      </c>
      <c r="T14">
        <v>10</v>
      </c>
      <c r="U14">
        <v>60</v>
      </c>
      <c r="V14" t="s">
        <v>167</v>
      </c>
    </row>
    <row r="15" spans="1:22" x14ac:dyDescent="0.45">
      <c r="A15">
        <f t="shared" si="1"/>
        <v>14</v>
      </c>
      <c r="B15" t="s">
        <v>143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144</v>
      </c>
      <c r="M15" t="s">
        <v>144</v>
      </c>
      <c r="S15" t="s">
        <v>145</v>
      </c>
      <c r="V15" t="s">
        <v>167</v>
      </c>
    </row>
    <row r="16" spans="1:22" x14ac:dyDescent="0.45">
      <c r="A16">
        <f t="shared" si="1"/>
        <v>15</v>
      </c>
      <c r="B16" t="s">
        <v>147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148</v>
      </c>
      <c r="M16" t="s">
        <v>148</v>
      </c>
      <c r="S16" t="s">
        <v>149</v>
      </c>
      <c r="T16">
        <v>3</v>
      </c>
      <c r="U16">
        <v>15</v>
      </c>
      <c r="V16" t="s">
        <v>167</v>
      </c>
    </row>
  </sheetData>
  <phoneticPr fontId="1"/>
  <dataValidations count="3">
    <dataValidation type="decimal" allowBlank="1" showInputMessage="1" showErrorMessage="1" sqref="E2:I16" xr:uid="{1DD7AC07-48F3-4158-AFAE-9A67E1197F38}">
      <formula1>0</formula1>
      <formula2>600</formula2>
    </dataValidation>
    <dataValidation type="whole" allowBlank="1" showInputMessage="1" showErrorMessage="1" sqref="K2:K16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20</xdr:row>
                    <xdr:rowOff>7620</xdr:rowOff>
                  </from>
                  <to>
                    <xdr:col>19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C2:C16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D2:D16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J2:J16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P2:P16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O2:O16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2026-09-25T05:07:31Z</dcterms:modified>
</cp:coreProperties>
</file>