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_Project\Excel\"/>
    </mc:Choice>
  </mc:AlternateContent>
  <xr:revisionPtr revIDLastSave="0" documentId="13_ncr:1_{D721D894-C974-4838-B74B-1EE9319A4E8F}" xr6:coauthVersionLast="36" xr6:coauthVersionMax="36" xr10:uidLastSave="{00000000-0000-0000-0000-000000000000}"/>
  <bookViews>
    <workbookView xWindow="0" yWindow="0" windowWidth="23040" windowHeight="8124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9" l="1"/>
  <c r="P3" i="9"/>
  <c r="P4" i="9"/>
  <c r="P5" i="9"/>
  <c r="P6" i="9"/>
  <c r="P7" i="9"/>
  <c r="P8" i="9"/>
  <c r="P9" i="9"/>
  <c r="P10" i="9"/>
  <c r="P11" i="9"/>
  <c r="P12" i="9"/>
  <c r="O2" i="9"/>
  <c r="O3" i="9"/>
  <c r="O4" i="9"/>
  <c r="O5" i="9"/>
  <c r="O6" i="9"/>
  <c r="O7" i="9"/>
  <c r="O8" i="9"/>
  <c r="O9" i="9"/>
  <c r="O10" i="9"/>
  <c r="O11" i="9"/>
  <c r="O12" i="9"/>
  <c r="M2" i="9"/>
  <c r="M3" i="9"/>
  <c r="M4" i="9"/>
  <c r="M5" i="9"/>
  <c r="M6" i="9"/>
  <c r="M7" i="9"/>
  <c r="M8" i="9"/>
  <c r="M9" i="9"/>
  <c r="M10" i="9"/>
  <c r="M11" i="9"/>
  <c r="M12" i="9"/>
  <c r="L2" i="9"/>
  <c r="L3" i="9"/>
  <c r="L4" i="9"/>
  <c r="L5" i="9"/>
  <c r="L6" i="9"/>
  <c r="L7" i="9"/>
  <c r="L8" i="9"/>
  <c r="L9" i="9"/>
  <c r="L10" i="9"/>
  <c r="L11" i="9"/>
  <c r="L12" i="9"/>
  <c r="J2" i="9"/>
  <c r="J3" i="9"/>
  <c r="J4" i="9"/>
  <c r="J5" i="9"/>
  <c r="J6" i="9"/>
  <c r="J7" i="9"/>
  <c r="J8" i="9"/>
  <c r="J9" i="9"/>
  <c r="J10" i="9"/>
  <c r="J11" i="9"/>
  <c r="J12" i="9"/>
  <c r="D2" i="9"/>
  <c r="D3" i="9"/>
  <c r="D4" i="9"/>
  <c r="D5" i="9"/>
  <c r="D6" i="9"/>
  <c r="D7" i="9"/>
  <c r="D8" i="9"/>
  <c r="D9" i="9"/>
  <c r="D10" i="9"/>
  <c r="D11" i="9"/>
  <c r="D12" i="9"/>
  <c r="C2" i="9"/>
  <c r="C3" i="9"/>
  <c r="C4" i="9"/>
  <c r="C5" i="9"/>
  <c r="C6" i="9"/>
  <c r="C7" i="9"/>
  <c r="C8" i="9"/>
  <c r="C9" i="9"/>
  <c r="C10" i="9"/>
  <c r="C11" i="9"/>
  <c r="C12" i="9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<sst xmlns="http://schemas.openxmlformats.org/spreadsheetml/2006/main" count="201" uniqueCount="122">
  <si>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</si>
  <si>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</si>
  <si>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</si>
  <si>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</si>
  <si>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</si>
  <si>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</si>
  <si>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</si>
  <si>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</si>
  <si>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</si>
  <si>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</si>
  <si>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</si>
  <si>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</si>
  <si>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</si>
  <si>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</si>
  <si>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</si>
  <si>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</si>
  <si>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</si>
  <si>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</si>
  <si>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</si>
  <si>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</si>
  <si>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</si>
  <si>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</si>
  <si>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</si>
  <si>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</si>
  <si>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</si>
  <si>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</si>
  <si>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</si>
  <si>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</si>
  <si>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</si>
  <si>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</si>
  <si>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</si>
  <si>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</si>
  <si>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</si>
  <si>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</si>
  <si>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</si>
  <si>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</si>
  <si>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</si>
  <si>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</si>
  <si>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</si>
  <si>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</si>
  <si>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</si>
  <si>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</si>
  <si>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</si>
  <si>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</si>
  <si>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</si>
  <si>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</si>
  <si>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</si>
  <si>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</si>
  <si>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</si>
  <si>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</si>
  <si>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</si>
  <si>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</si>
  <si>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</si>
  <si>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</si>
  <si>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</si>
  <si>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</si>
  <si>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</si>
  <si>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</si>
  <si>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</si>
  <si>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</si>
  <si>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</si>
  <si>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</si>
  <si>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</si>
  <si>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</si>
  <si>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</si>
  <si>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</si>
  <si>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</si>
  <si>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</si>
  <si>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</si>
  <si>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</si>
  <si>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</si>
  <si>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</si>
  <si>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</si>
  <si>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</si>
  <si>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</si>
  <si>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</si>
  <si>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</si>
  <si>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</si>
  <si>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</si>
  <si>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</si>
  <si>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</si>
  <si>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</si>
  <si>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</si>
  <si>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</si>
  <si>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</si>
  <si>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</si>
  <si>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</si>
  <si>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</si>
  <si>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</si>
  <si>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</si>
  <si>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</si>
  <si>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</si>
  <si>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</si>
  <si>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</si>
  <si>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闇魔法</t>
    <rPh sb="0" eb="3">
      <t>ヤミマホウ</t>
    </rPh>
    <phoneticPr fontId="1"/>
  </si>
  <si>
    <t>DarkBall</t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</si>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</sst>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16</xdr:row>
          <xdr:rowOff>7620</xdr:rowOff>
        </xdr:from>
        <xdr:to>
          <xdr:col>19</xdr:col>
          <xdr:colOff>7620</xdr:colOff>
          <xdr:row>18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DC3D8E-07A0-499B-89AC-1C72C1EDCD8D}" name="OutputTable" displayName="OutputTable" ref="A1:S12" totalsRowShown="0">
  <autoFilter ref="A1:S12" xr:uid="{F2ECBCF8-EB7E-4081-9199-6FE36E7008FA}"/>
  <tableColumns count="19">
    <tableColumn id="1" xr3:uid="{23F50112-94D3-4312-915A-8C124D462B6A}" name="No"/>
    <tableColumn id="2" xr3:uid="{56EFFE87-98ED-4D0F-8943-173ABDDF0CD5}" name="名前"/>
    <tableColumn id="3" xr3:uid="{9377EE29-50ED-428A-AB6C-25F7137FACF3}" name="ターゲット方法">
      <calculatedColumnFormula>VLOOKUP('InputFile(Skill)'!C2, 検索用シート!$A$2:$B$6, 2, FALSE)</calculatedColumnFormula>
    </tableColumn>
    <tableColumn id="4" xr3:uid="{5BDD1FDE-9B36-4A38-8002-E206BED499B7}" name="攻撃方法">
      <calculatedColumnFormula>VLOOKUP('InputFile(Skill)'!D2, 検索用シート!$D$2:$E$5, 2, FALSE)</calculatedColumnFormula>
    </tableColumn>
    <tableColumn id="5" xr3:uid="{FAEFD7DA-DA60-4EFB-B43C-C3C91C991109}" name="値"/>
    <tableColumn id="6" xr3:uid="{6560311C-4B4C-4843-BED8-5EE81D511B69}" name="クールタイム"/>
    <tableColumn id="7" xr3:uid="{3280E406-A06A-4021-AF34-B1A76E932D9D}" name="持続時間"/>
    <tableColumn id="8" xr3:uid="{1504FF50-95E2-4634-B55F-ADDF5E7F7BE4}" name="予備動作時間"/>
    <tableColumn id="9" xr3:uid="{5DBD4DBF-6E8F-4E15-AF8B-C13B44AF8AF3}" name="移動速度"/>
    <tableColumn id="10" xr3:uid="{6E99F2BF-E4AE-46AE-90E8-AD79CE696074}" name="貫通">
      <calculatedColumnFormula>VLOOKUP('InputFile(Skill)'!J2, 検索用シート!$G$2:$H$3, 2, FALSE)</calculatedColumnFormula>
    </tableColumn>
    <tableColumn id="11" xr3:uid="{B5F593F9-55CC-4408-9973-98371244E6AC}" name="反射回数"/>
    <tableColumn id="12" xr3:uid="{E9FEF47B-6FDF-4A52-A7E7-6FFD63E14156}" name="画像パス">
      <calculatedColumnFormula>検索用シート!$J$8 &amp; 'InputFile(Skill)'!L2</calculatedColumnFormula>
    </tableColumn>
    <tableColumn id="13" xr3:uid="{D9A0F3CE-384B-4BAA-AC3C-A779159B04D1}" name="スキルオブジェクト">
      <calculatedColumnFormula>検索用シート!$J$2 &amp; 'InputFile(Skill)'!M2</calculatedColumnFormula>
    </tableColumn>
    <tableColumn id="14" xr3:uid="{0328B203-EDED-440F-8B89-1BC466003ADD}" name="効果音"/>
    <tableColumn id="15" xr3:uid="{3DB3754B-D29A-45BF-989B-41D723959EAD}" name="付与するエフェクト">
      <calculatedColumnFormula>IF('InputFile(Skill)'!O2="", "", IFERROR(VLOOKUP('InputFile(Skill)'!O2, 検索用シート!$L$2:$M$14, 2, FALSE), ""))</calculatedColumnFormula>
    </tableColumn>
    <tableColumn id="16" xr3:uid="{BCD1D780-BE75-4C7C-A9EC-66DCD8253B21}" name="バフか">
      <calculatedColumnFormula>IF('InputFile(Skill)'!P2="", "", IFERROR(VLOOKUP('InputFile(Skill)'!P2, 検索用シート!$G$6:$H$7, 2, FALSE), ""))</calculatedColumnFormula>
    </tableColumn>
    <tableColumn id="17" xr3:uid="{0183796A-8C49-410A-A443-E0F2D6754DE1}" name="エフェクト持続時間"/>
    <tableColumn id="18" xr3:uid="{B4F73686-5A29-4161-B903-5CC26CD7BEA6}" name="エフェクト数値"/>
    <tableColumn id="19" xr3:uid="{E88F1C75-2CEC-48D0-A3EF-85D91D052CDC}" name="説明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S12" totalsRowShown="0">
  <autoFilter ref="A1:S12" xr:uid="{1F6AF440-C034-4897-9253-FD1BE22FEFC7}"/>
  <tableColumns count="19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S12"/>
  <sheetViews>
    <sheetView tabSelected="1" workbookViewId="0">
      <selection activeCell="D19" sqref="D19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</cols>
  <sheetData>
    <row r="1" spans="1:19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</row>
    <row r="2" spans="1:19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10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</v>
      </c>
      <c r="M2" t="str">
        <f>検索用シート!$J$2 &amp; 'InputFile(Skill)'!M2</f>
        <v>Effect/Skill/NormalArrow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</row>
    <row r="3" spans="1:19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</v>
      </c>
      <c r="M3" t="str">
        <f>検索用シート!$J$2 &amp; 'InputFile(Skill)'!M3</f>
        <v>Effect/Skill/SrowArrow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</row>
    <row r="4" spans="1:19" x14ac:dyDescent="0.45">
      <c r="A4">
        <v>3</v>
      </c>
      <c r="B4" t="s">
        <v>119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3</v>
      </c>
      <c r="L4" t="str">
        <f>検索用シート!$J$8 &amp; 'InputFile(Skill)'!L4</f>
        <v>Sprites/Icon/</v>
      </c>
      <c r="M4" t="str">
        <f>検索用シート!$J$2 &amp; 'InputFile(Skill)'!M4</f>
        <v>Effect/Skill/HormingArrow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121</v>
      </c>
    </row>
    <row r="5" spans="1:19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</v>
      </c>
      <c r="M5" t="str">
        <f>検索用シート!$J$2 &amp; 'InputFile(Skill)'!M5</f>
        <v>Effect/Skill/RandomDmgCard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</row>
    <row r="6" spans="1:19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</row>
    <row r="7" spans="1:19" x14ac:dyDescent="0.45">
      <c r="A7">
        <v>6</v>
      </c>
      <c r="B7" t="s">
        <v>94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96</v>
      </c>
    </row>
    <row r="8" spans="1:19" x14ac:dyDescent="0.45">
      <c r="A8">
        <v>7</v>
      </c>
      <c r="B8" t="s">
        <v>97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</v>
      </c>
      <c r="M8" t="str">
        <f>検索用シート!$J$2 &amp; 'InputFile(Skill)'!M8</f>
        <v>Effect/Skill/Poison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99</v>
      </c>
    </row>
    <row r="9" spans="1:19" x14ac:dyDescent="0.45">
      <c r="A9">
        <v>8</v>
      </c>
      <c r="B9" t="s">
        <v>100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103</v>
      </c>
    </row>
    <row r="10" spans="1:19" x14ac:dyDescent="0.45">
      <c r="A10">
        <v>9</v>
      </c>
      <c r="B10" t="s">
        <v>107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109</v>
      </c>
    </row>
    <row r="11" spans="1:19" x14ac:dyDescent="0.45">
      <c r="A11">
        <v>10</v>
      </c>
      <c r="B11" t="s">
        <v>110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111</v>
      </c>
    </row>
    <row r="12" spans="1:19" x14ac:dyDescent="0.45">
      <c r="A12">
        <v>11</v>
      </c>
      <c r="B12" t="s">
        <v>114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117</v>
      </c>
    </row>
  </sheetData>
  <sheetProtection algorithmName="SHA-512" hashValue="ifrBp4niDhdRH8P8djEkaqHrLhAYHfxV3XoJ6GuFsRVAFdIzqnJbl6JkA7v5LKuNLNYKBD1/ousfKAVCESUULg==" saltValue="+9/MBz4ISlOI+jjcwaHpLg==" spinCount="100000" sheet="1" objects="1" scenarios="1"/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13"/>
  <sheetViews>
    <sheetView workbookViewId="0">
      <selection activeCell="A21" sqref="A21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L9" t="s">
        <v>64</v>
      </c>
      <c r="M9" t="s">
        <v>85</v>
      </c>
    </row>
    <row r="10" spans="1:13" x14ac:dyDescent="0.45">
      <c r="L10" t="s">
        <v>65</v>
      </c>
      <c r="M10" t="s">
        <v>86</v>
      </c>
    </row>
    <row r="11" spans="1:13" x14ac:dyDescent="0.45">
      <c r="L11" t="s">
        <v>66</v>
      </c>
      <c r="M11" t="s">
        <v>87</v>
      </c>
    </row>
    <row r="12" spans="1:13" x14ac:dyDescent="0.45">
      <c r="L12" t="s">
        <v>67</v>
      </c>
      <c r="M12" t="s">
        <v>88</v>
      </c>
    </row>
    <row r="13" spans="1:13" x14ac:dyDescent="0.45">
      <c r="L13" t="s">
        <v>68</v>
      </c>
      <c r="M13" t="s">
        <v>89</v>
      </c>
    </row>
  </sheetData>
  <sheetProtection algorithmName="SHA-512" hashValue="sDvs67PMLfJ0vheWwia717iahJVAtaF+vZRStJXlphJEOfg2kFtS6L1k57qXLXyPYd/yie2429iQke6C8flBEQ==" saltValue="XB7TbEHIdqQ5zQE+//PHsg==" spinCount="100000" sheet="1" objects="1" scenarios="1"/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S12"/>
  <sheetViews>
    <sheetView workbookViewId="0">
      <selection activeCell="F17" sqref="F17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2.296875" bestFit="1" customWidth="1"/>
  </cols>
  <sheetData>
    <row r="1" spans="1:19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</row>
    <row r="2" spans="1:19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10</v>
      </c>
      <c r="J2" t="s">
        <v>31</v>
      </c>
      <c r="K2">
        <v>0</v>
      </c>
      <c r="M2" t="s">
        <v>53</v>
      </c>
      <c r="S2" t="s">
        <v>42</v>
      </c>
    </row>
    <row r="3" spans="1:19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M3" t="s">
        <v>51</v>
      </c>
      <c r="O3" t="s">
        <v>78</v>
      </c>
      <c r="P3" t="s">
        <v>73</v>
      </c>
      <c r="Q3">
        <v>5</v>
      </c>
      <c r="R3">
        <v>0.2</v>
      </c>
      <c r="S3" t="s">
        <v>52</v>
      </c>
    </row>
    <row r="4" spans="1:19" x14ac:dyDescent="0.45">
      <c r="A4">
        <f>ROW()-1</f>
        <v>3</v>
      </c>
      <c r="B4" t="s">
        <v>119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3</v>
      </c>
      <c r="M4" t="s">
        <v>120</v>
      </c>
      <c r="S4" t="s">
        <v>121</v>
      </c>
    </row>
    <row r="5" spans="1:19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M5" t="s">
        <v>55</v>
      </c>
      <c r="S5" t="s">
        <v>56</v>
      </c>
    </row>
    <row r="6" spans="1:19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104</v>
      </c>
      <c r="M6" t="s">
        <v>91</v>
      </c>
      <c r="O6" t="s">
        <v>92</v>
      </c>
      <c r="P6" t="s">
        <v>73</v>
      </c>
      <c r="Q6">
        <v>3</v>
      </c>
      <c r="R6">
        <v>0</v>
      </c>
      <c r="S6" t="s">
        <v>93</v>
      </c>
    </row>
    <row r="7" spans="1:19" x14ac:dyDescent="0.45">
      <c r="A7">
        <f t="shared" si="0"/>
        <v>6</v>
      </c>
      <c r="B7" t="s">
        <v>94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105</v>
      </c>
      <c r="M7" t="s">
        <v>95</v>
      </c>
      <c r="O7" t="s">
        <v>77</v>
      </c>
      <c r="P7" t="s">
        <v>73</v>
      </c>
      <c r="Q7">
        <v>10</v>
      </c>
      <c r="R7">
        <v>0.1</v>
      </c>
      <c r="S7" t="s">
        <v>96</v>
      </c>
    </row>
    <row r="8" spans="1:19" x14ac:dyDescent="0.45">
      <c r="A8">
        <f t="shared" si="0"/>
        <v>7</v>
      </c>
      <c r="B8" t="s">
        <v>97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M8" t="s">
        <v>98</v>
      </c>
      <c r="O8" t="s">
        <v>60</v>
      </c>
      <c r="P8" t="s">
        <v>73</v>
      </c>
      <c r="Q8">
        <v>10</v>
      </c>
      <c r="R8">
        <v>2</v>
      </c>
      <c r="S8" t="s">
        <v>99</v>
      </c>
    </row>
    <row r="9" spans="1:19" x14ac:dyDescent="0.45">
      <c r="A9">
        <f t="shared" si="0"/>
        <v>8</v>
      </c>
      <c r="B9" t="s">
        <v>100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106</v>
      </c>
      <c r="M9" t="s">
        <v>101</v>
      </c>
      <c r="O9" t="s">
        <v>76</v>
      </c>
      <c r="P9" t="s">
        <v>102</v>
      </c>
      <c r="Q9">
        <v>10</v>
      </c>
      <c r="R9">
        <v>1.2</v>
      </c>
      <c r="S9" t="s">
        <v>103</v>
      </c>
    </row>
    <row r="10" spans="1:19" x14ac:dyDescent="0.45">
      <c r="A10">
        <f>ROW()-1</f>
        <v>9</v>
      </c>
      <c r="B10" t="s">
        <v>107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108</v>
      </c>
      <c r="M10" t="s">
        <v>118</v>
      </c>
      <c r="O10" t="s">
        <v>77</v>
      </c>
      <c r="P10" t="s">
        <v>102</v>
      </c>
      <c r="Q10">
        <v>10</v>
      </c>
      <c r="R10">
        <v>1.5</v>
      </c>
      <c r="S10" t="s">
        <v>109</v>
      </c>
    </row>
    <row r="11" spans="1:19" x14ac:dyDescent="0.45">
      <c r="A11">
        <f>ROW()-1</f>
        <v>10</v>
      </c>
      <c r="B11" t="s">
        <v>110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112</v>
      </c>
      <c r="M11" t="s">
        <v>113</v>
      </c>
      <c r="O11" t="s">
        <v>78</v>
      </c>
      <c r="P11" t="s">
        <v>102</v>
      </c>
      <c r="Q11">
        <v>10</v>
      </c>
      <c r="R11">
        <v>1.5</v>
      </c>
      <c r="S11" t="s">
        <v>111</v>
      </c>
    </row>
    <row r="12" spans="1:19" x14ac:dyDescent="0.45">
      <c r="A12">
        <f>ROW()-1</f>
        <v>11</v>
      </c>
      <c r="B12" t="s">
        <v>114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115</v>
      </c>
      <c r="M12" t="s">
        <v>116</v>
      </c>
      <c r="S12" t="s">
        <v>117</v>
      </c>
    </row>
  </sheetData>
  <phoneticPr fontId="1"/>
  <dataValidations count="3">
    <dataValidation type="decimal" allowBlank="1" showInputMessage="1" showErrorMessage="1" sqref="E2:I12" xr:uid="{1DD7AC07-48F3-4158-AFAE-9A67E1197F38}">
      <formula1>0</formula1>
      <formula2>600</formula2>
    </dataValidation>
    <dataValidation type="whole" allowBlank="1" showInputMessage="1" showErrorMessage="1" sqref="K2:K12" xr:uid="{B03B00ED-E69F-42B4-93A8-7FECF302F58A}">
      <formula1>0</formula1>
      <formula2>600</formula2>
    </dataValidation>
    <dataValidation type="textLength" allowBlank="1" showInputMessage="1" showErrorMessage="1" sqref="L2:L12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16</xdr:row>
                    <xdr:rowOff>7620</xdr:rowOff>
                  </from>
                  <to>
                    <xdr:col>19</xdr:col>
                    <xdr:colOff>7620</xdr:colOff>
                    <xdr:row>18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A0A6037-F450-4342-8C2E-1B714890B523}">
          <x14:formula1>
            <xm:f>検索用シート!$A$2:$A$6</xm:f>
          </x14:formula1>
          <xm:sqref>C2:C12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D2:D12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J2:J12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P2:P12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O2:O12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2026-07-31T02:23:11Z</dcterms:modified>
</cp:coreProperties>
</file>