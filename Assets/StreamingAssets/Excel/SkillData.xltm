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StreamingAssets\Excel\"/>
    </mc:Choice>
  </mc:AlternateContent>
  <xr:revisionPtr revIDLastSave="0" documentId="13_ncr:1_{7F35D9C1-7CB5-48D1-B2FF-FF6804552268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A16" i="1" l="1"/>
  <c r="A15" i="1"/>
  <c r="A14" i="1"/>
  <c r="A13" i="1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<sst xmlns="http://schemas.openxmlformats.org/spreadsheetml/2006/main" count="262" uniqueCount="155">
  <si>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</si>
  <si>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</si>
  <si>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</si>
  <si>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</si>
  <si>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</si>
  <si>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</si>
  <si>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</si>
  <si>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</si>
  <si>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</si>
  <si>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</si>
  <si>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</si>
  <si>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</si>
  <si>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</si>
  <si>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</si>
  <si>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</si>
  <si>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</si>
  <si>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</si>
  <si>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</si>
  <si>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</si>
  <si>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</si>
  <si>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</si>
  <si>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</si>
  <si>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</si>
  <si>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</si>
  <si>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</si>
  <si>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</si>
  <si>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</si>
  <si>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</si>
  <si>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</si>
  <si>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</si>
  <si>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</si>
  <si>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</si>
  <si>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</si>
  <si>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</si>
  <si>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</si>
  <si>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</si>
  <si>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</si>
  <si>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</si>
  <si>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</si>
  <si>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</si>
  <si>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</si>
  <si>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</si>
  <si>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</si>
  <si>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</si>
  <si>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</si>
  <si>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</si>
  <si>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</si>
  <si>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</si>
  <si>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</si>
  <si>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</si>
  <si>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</si>
  <si>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</si>
  <si>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</si>
  <si>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</si>
  <si>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</si>
  <si>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</si>
  <si>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</si>
  <si>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</si>
  <si>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</si>
  <si>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</si>
  <si>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</si>
  <si>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</si>
  <si>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</si>
  <si>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</si>
  <si>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</si>
  <si>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</si>
  <si>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</si>
  <si>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</si>
  <si>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</si>
  <si>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</si>
  <si>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</si>
  <si>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</si>
  <si>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</si>
  <si>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</si>
  <si>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</si>
  <si>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</si>
  <si>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</si>
  <si>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</si>
  <si>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</si>
  <si>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</si>
  <si>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</si>
  <si>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</si>
  <si>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</si>
  <si>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</si>
  <si>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</si>
  <si>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</si>
  <si>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</si>
  <si>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</si>
  <si>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</si>
  <si>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</si>
  <si>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</si>
  <si>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</si>
  <si>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</si>
  <si>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</si>
  <si>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闇魔法</t>
    <rPh sb="0" eb="3">
      <t>ヤミマホウ</t>
    </rPh>
    <phoneticPr fontId="1"/>
  </si>
  <si>
    <t>DarkBall</t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</si>
  <si>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</si>
  <si>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</si>
  <si>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</si>
  <si>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</si>
  <si>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</si>
  <si>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</si>
  <si>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</si>
  <si>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</si>
  <si>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</si>
  <si>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</si>
  <si>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</si>
  <si>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</si>
  <si>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</si>
  <si>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</si>
  <si>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</si>
  <si>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</si>
  <si>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</si>
  <si>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</si>
  <si>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</si>
  <si>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</si>
  <si>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</si>
  <si>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</si>
  <si>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</si>
  <si>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</si>
  <si>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</si>
  <si>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</si>
  <si>
    <t>Blackarrow</t>
    <phoneticPr fontId="1"/>
  </si>
  <si>
    <t>Dice</t>
  </si>
  <si>
    <t>Poison</t>
    <phoneticPr fontId="1"/>
  </si>
  <si>
    <t>Bluearrow</t>
    <phoneticPr fontId="1"/>
  </si>
  <si>
    <t>Redarrow</t>
  </si>
  <si>
    <t>Spear</t>
    <phoneticPr fontId="1"/>
  </si>
  <si>
    <t>Ice</t>
    <phoneticPr fontId="1"/>
  </si>
  <si>
    <t>Shadow</t>
    <phoneticPr fontId="1"/>
  </si>
  <si>
    <t>Poison</t>
    <phoneticPr fontId="1"/>
  </si>
  <si>
    <t>Spear</t>
  </si>
  <si>
    <t>Ice</t>
  </si>
  <si>
    <t>Shadow</t>
  </si>
  <si>
    <t>Poison</t>
  </si>
  <si>
    <t>雷</t>
    <rPh sb="0" eb="1">
      <t>カミナリ</t>
    </rPh>
    <phoneticPr fontId="1"/>
  </si>
  <si>
    <t>Thunder</t>
  </si>
  <si>
    <t>Thunder</t>
    <phoneticPr fontId="1"/>
  </si>
  <si>
    <t>高いダメージを出す魔法</t>
    <rPh sb="0" eb="1">
      <t>タカ</t>
    </rPh>
    <rPh sb="7" eb="8">
      <t>ダ</t>
    </rPh>
    <rPh sb="9" eb="11">
      <t>マホウ</t>
    </rPh>
    <phoneticPr fontId="1"/>
  </si>
  <si>
    <t>ショットガン</t>
  </si>
  <si>
    <t>ショットガン</t>
    <phoneticPr fontId="1"/>
  </si>
  <si>
    <t>広い範囲に撃つ</t>
    <rPh sb="0" eb="1">
      <t>ヒロ</t>
    </rPh>
    <rPh sb="2" eb="4">
      <t>ハンイ</t>
    </rPh>
    <rPh sb="5" eb="6">
      <t>ウ</t>
    </rPh>
    <phoneticPr fontId="1"/>
  </si>
  <si>
    <t>スナイパー</t>
  </si>
  <si>
    <t>スナイパー</t>
    <phoneticPr fontId="1"/>
  </si>
  <si>
    <t>Sniper</t>
    <phoneticPr fontId="1"/>
  </si>
  <si>
    <t>早い弾を出す</t>
    <rPh sb="0" eb="1">
      <t>ハヤ</t>
    </rPh>
    <rPh sb="2" eb="3">
      <t>タマ</t>
    </rPh>
    <rPh sb="4" eb="5">
      <t>ダ</t>
    </rPh>
    <phoneticPr fontId="1"/>
  </si>
  <si>
    <t>ナイフ</t>
  </si>
  <si>
    <t>ナイフ</t>
    <phoneticPr fontId="1"/>
  </si>
  <si>
    <t>Knife</t>
    <phoneticPr fontId="1"/>
  </si>
  <si>
    <t>３方向にナイフを出す</t>
    <rPh sb="1" eb="3">
      <t>ホウコウ</t>
    </rPh>
    <rPh sb="8" eb="9">
      <t>ダ</t>
    </rPh>
    <phoneticPr fontId="1"/>
  </si>
  <si>
    <t>生成個数</t>
    <rPh sb="0" eb="4">
      <t>セイセイコスウ</t>
    </rPh>
    <phoneticPr fontId="1"/>
  </si>
  <si>
    <t>角度</t>
    <rPh sb="0" eb="2">
      <t>カクド</t>
    </rPh>
    <phoneticPr fontId="1"/>
  </si>
  <si>
    <t>標準無し（敵全体）</t>
    <rPh sb="0" eb="3">
      <t>ヒョウジュンナ</t>
    </rPh>
    <rPh sb="5" eb="8">
      <t>テキゼンタイ</t>
    </rPh>
    <phoneticPr fontId="1"/>
  </si>
  <si>
    <t>Enemy</t>
    <phoneticPr fontId="1"/>
  </si>
  <si>
    <t>Shotgun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</si>
</sst>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20</xdr:row>
          <xdr:rowOff>7620</xdr:rowOff>
        </xdr:from>
        <xdr:to>
          <xdr:col>19</xdr:col>
          <xdr:colOff>7620</xdr:colOff>
          <xdr:row>22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B1AE32B-1BDD-4451-91EE-89DBB9D9F555}" name="OutputTable" displayName="OutputTable" ref="A1:U16" totalsRowShown="0">
  <autoFilter ref="A1:U16" xr:uid="{CDD7D1ED-50E7-47A5-9354-06D160A04224}"/>
  <tableColumns count="21">
    <tableColumn id="1" xr3:uid="{E9AC3C1D-E890-40F8-BEDC-855656F985D1}" name="No"/>
    <tableColumn id="2" xr3:uid="{33C326BA-D72D-4B2A-A609-A61355209043}" name="名前"/>
    <tableColumn id="3" xr3:uid="{A96E6EA7-7BF1-4BB6-ACEB-52059FA40C90}" name="ターゲット方法">
      <calculatedColumnFormula>VLOOKUP('InputFile(Skill)'!C2, 検索用シート!$A$2:$B$6, 2, FALSE)</calculatedColumnFormula>
    </tableColumn>
    <tableColumn id="4" xr3:uid="{A1D19735-EFDB-4D85-ADCD-361283AB2650}" name="攻撃方法">
      <calculatedColumnFormula>VLOOKUP('InputFile(Skill)'!D2, 検索用シート!$D$2:$E$5, 2, FALSE)</calculatedColumnFormula>
    </tableColumn>
    <tableColumn id="5" xr3:uid="{A4D2F34F-B506-419C-A0CF-192936D66BC6}" name="値"/>
    <tableColumn id="6" xr3:uid="{E61D0FAD-CB38-4181-9EB6-0B63DB49184E}" name="クールタイム"/>
    <tableColumn id="7" xr3:uid="{28112EDA-7214-4BE2-A889-0B1DD6A483AA}" name="持続時間"/>
    <tableColumn id="8" xr3:uid="{6512844C-E041-4577-8E8B-C7CB5B95A6D8}" name="予備動作時間"/>
    <tableColumn id="9" xr3:uid="{F53CDB04-2FBF-4D9E-A4E4-DA2DB8D74E38}" name="移動速度"/>
    <tableColumn id="10" xr3:uid="{FC96BDC3-DA5B-46B7-9CD4-CED7F8B23056}" name="貫通">
      <calculatedColumnFormula>VLOOKUP('InputFile(Skill)'!J2, 検索用シート!$G$2:$H$3, 2, FALSE)</calculatedColumnFormula>
    </tableColumn>
    <tableColumn id="11" xr3:uid="{AC7CBC74-6827-4E81-AD3D-4EB5699D378F}" name="反射回数"/>
    <tableColumn id="12" xr3:uid="{6BC375DE-1CCF-425B-A1FE-8B5994B99D9A}" name="画像パス">
      <calculatedColumnFormula>検索用シート!$J$8 &amp; 'InputFile(Skill)'!L2</calculatedColumnFormula>
    </tableColumn>
    <tableColumn id="13" xr3:uid="{3E693E18-A430-4CBA-A114-2C291D35F23B}" name="スキルオブジェクト">
      <calculatedColumnFormula>検索用シート!$J$2 &amp; 'InputFile(Skill)'!M2</calculatedColumnFormula>
    </tableColumn>
    <tableColumn id="14" xr3:uid="{350B6433-FF71-450D-A8A3-5F64F8ED3D1D}" name="効果音"/>
    <tableColumn id="15" xr3:uid="{D3CB286F-82BF-4458-B653-5E0205871634}" name="付与するエフェクト">
      <calculatedColumnFormula>IF('InputFile(Skill)'!O2="", "", IFERROR(VLOOKUP('InputFile(Skill)'!O2, 検索用シート!$L$2:$M$14, 2, FALSE), ""))</calculatedColumnFormula>
    </tableColumn>
    <tableColumn id="16" xr3:uid="{5A351348-6937-49C0-A563-0EE2C8DC3915}" name="バフか">
      <calculatedColumnFormula>IF('InputFile(Skill)'!P2="", "", IFERROR(VLOOKUP('InputFile(Skill)'!P2, 検索用シート!$G$6:$H$7, 2, FALSE), ""))</calculatedColumnFormula>
    </tableColumn>
    <tableColumn id="17" xr3:uid="{C5FB5287-E176-459C-85E9-BBD949747F03}" name="エフェクト持続時間"/>
    <tableColumn id="18" xr3:uid="{664E7A2F-9089-4222-AE00-92482E271EE9}" name="エフェクト数値"/>
    <tableColumn id="19" xr3:uid="{ECDB265B-2960-4FA2-95BD-1B20C932DEE4}" name="説明"/>
    <tableColumn id="20" xr3:uid="{984ED8F6-2AC9-4963-AA2E-7852763859AB}" name="生成個数"/>
    <tableColumn id="21" xr3:uid="{E4A32885-0B25-4709-A45C-CE8D7581884B}" name="角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U16" totalsRowShown="0">
  <autoFilter ref="A1:U16" xr:uid="{1F6AF440-C034-4897-9253-FD1BE22FEFC7}"/>
  <tableColumns count="21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  <tableColumn id="20" xr3:uid="{6108AE96-EBD2-426E-B1FC-186294A106F0}" name="生成個数"/>
    <tableColumn id="21" xr3:uid="{B4E92BC2-DA90-44B0-888E-7C5EDD4ABDAB}" name="角度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U16"/>
  <sheetViews>
    <sheetView topLeftCell="L1" workbookViewId="0">
      <selection sqref="A1:U16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9.796875" customWidth="1"/>
  </cols>
  <sheetData>
    <row r="1" spans="1:21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  <c r="T1" t="s">
        <v>150</v>
      </c>
      <c r="U1" t="s">
        <v>151</v>
      </c>
    </row>
    <row r="2" spans="1:21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15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Sprites/Icon/Redarrow</v>
      </c>
      <c r="M2" t="str">
        <f>検索用シート!$J$2 &amp; 'InputFile(Skill)'!M2</f>
        <v>Effect/Skill/NormalArrow</v>
      </c>
      <c r="N2" t="s">
        <v>131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</row>
    <row r="3" spans="1:21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Sprites/Icon/Bluearrow</v>
      </c>
      <c r="M3" t="str">
        <f>検索用シート!$J$2 &amp; 'InputFile(Skill)'!M3</f>
        <v>Effect/Skill/SrowArrow</v>
      </c>
      <c r="N3" t="s">
        <v>131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</row>
    <row r="4" spans="1:21" x14ac:dyDescent="0.45">
      <c r="A4">
        <v>3</v>
      </c>
      <c r="B4" t="s">
        <v>119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5</v>
      </c>
      <c r="L4" t="str">
        <f>検索用シート!$J$8 &amp; 'InputFile(Skill)'!L4</f>
        <v>Sprites/Icon/Blackarrow</v>
      </c>
      <c r="M4" t="str">
        <f>検索用シート!$J$2 &amp; 'InputFile(Skill)'!M4</f>
        <v>Effect/Skill/HormingArrow</v>
      </c>
      <c r="N4" t="s">
        <v>131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121</v>
      </c>
    </row>
    <row r="5" spans="1:21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Sprites/Icon/Dice</v>
      </c>
      <c r="M5" t="str">
        <f>検索用シート!$J$2 &amp; 'InputFile(Skill)'!M5</f>
        <v>Effect/Skill/RandomDmgCard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</row>
    <row r="6" spans="1:21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N6" t="s">
        <v>132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</row>
    <row r="7" spans="1:21" x14ac:dyDescent="0.45">
      <c r="A7">
        <v>6</v>
      </c>
      <c r="B7" t="s">
        <v>94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N7" t="s">
        <v>133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96</v>
      </c>
    </row>
    <row r="8" spans="1:21" x14ac:dyDescent="0.45">
      <c r="A8">
        <v>7</v>
      </c>
      <c r="B8" t="s">
        <v>97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Sprites/Icon/Poison</v>
      </c>
      <c r="M8" t="str">
        <f>検索用シート!$J$2 &amp; 'InputFile(Skill)'!M8</f>
        <v>Effect/Skill/Poison</v>
      </c>
      <c r="N8" t="s">
        <v>134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99</v>
      </c>
    </row>
    <row r="9" spans="1:21" x14ac:dyDescent="0.45">
      <c r="A9">
        <v>8</v>
      </c>
      <c r="B9" t="s">
        <v>100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103</v>
      </c>
    </row>
    <row r="10" spans="1:21" x14ac:dyDescent="0.45">
      <c r="A10">
        <v>9</v>
      </c>
      <c r="B10" t="s">
        <v>107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109</v>
      </c>
    </row>
    <row r="11" spans="1:21" x14ac:dyDescent="0.45">
      <c r="A11">
        <v>10</v>
      </c>
      <c r="B11" t="s">
        <v>110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111</v>
      </c>
    </row>
    <row r="12" spans="1:21" x14ac:dyDescent="0.45">
      <c r="A12">
        <v>11</v>
      </c>
      <c r="B12" t="s">
        <v>114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117</v>
      </c>
    </row>
    <row r="13" spans="1:21" x14ac:dyDescent="0.45">
      <c r="A13">
        <v>12</v>
      </c>
      <c r="B13" t="s">
        <v>135</v>
      </c>
      <c r="C13" t="str">
        <f>VLOOKUP('InputFile(Skill)'!C13, 検索用シート!$A$2:$B$6, 2, FALSE)</f>
        <v>LookOn</v>
      </c>
      <c r="D13" t="str">
        <f>VLOOKUP('InputFile(Skill)'!D13, 検索用シート!$D$2:$E$5, 2, FALSE)</f>
        <v>Attack</v>
      </c>
      <c r="E13">
        <v>10</v>
      </c>
      <c r="F13">
        <v>10</v>
      </c>
      <c r="G13">
        <v>0</v>
      </c>
      <c r="H13">
        <v>0.8</v>
      </c>
      <c r="I13">
        <v>0</v>
      </c>
      <c r="J13">
        <f>VLOOKUP('InputFile(Skill)'!J13, 検索用シート!$G$2:$H$3, 2, FALSE)</f>
        <v>-1</v>
      </c>
      <c r="K13">
        <v>0</v>
      </c>
      <c r="L13" t="str">
        <f>検索用シート!$J$8 &amp; 'InputFile(Skill)'!L13</f>
        <v>Sprites/Icon/Thunder</v>
      </c>
      <c r="M13" t="str">
        <f>検索用シート!$J$2 &amp; 'InputFile(Skill)'!M13</f>
        <v>Effect/Skill/Thunder</v>
      </c>
      <c r="N13" t="s">
        <v>136</v>
      </c>
      <c r="O13" t="str">
        <f>IF('InputFile(Skill)'!O13="", "", IFERROR(VLOOKUP('InputFile(Skill)'!O13, 検索用シート!$L$2:$M$14, 2, FALSE), ""))</f>
        <v/>
      </c>
      <c r="P13" t="str">
        <f>IF('InputFile(Skill)'!P13="", "", IFERROR(VLOOKUP('InputFile(Skill)'!P13, 検索用シート!$G$6:$H$7, 2, FALSE), ""))</f>
        <v/>
      </c>
      <c r="S13" t="s">
        <v>138</v>
      </c>
    </row>
    <row r="14" spans="1:21" x14ac:dyDescent="0.45">
      <c r="A14">
        <v>13</v>
      </c>
      <c r="B14" t="s">
        <v>139</v>
      </c>
      <c r="C14" t="str">
        <f>VLOOKUP('InputFile(Skill)'!C14, 検索用シート!$A$2:$B$6, 2, FALSE)</f>
        <v>Direction</v>
      </c>
      <c r="D14" t="str">
        <f>VLOOKUP('InputFile(Skill)'!D14, 検索用シート!$D$2:$E$5, 2, FALSE)</f>
        <v>Attack</v>
      </c>
      <c r="E14">
        <v>1</v>
      </c>
      <c r="F14">
        <v>10</v>
      </c>
      <c r="G14">
        <v>0</v>
      </c>
      <c r="H14">
        <v>0</v>
      </c>
      <c r="I14">
        <v>20</v>
      </c>
      <c r="J14">
        <f>VLOOKUP('InputFile(Skill)'!J14, 検索用シート!$G$2:$H$3, 2, FALSE)</f>
        <v>-1</v>
      </c>
      <c r="K14">
        <v>0</v>
      </c>
      <c r="L14" t="str">
        <f>検索用シート!$J$8 &amp; 'InputFile(Skill)'!L14</f>
        <v>Sprites/Icon/Shotgun</v>
      </c>
      <c r="M14" t="str">
        <f>検索用シート!$J$2 &amp; 'InputFile(Skill)'!M14</f>
        <v>Effect/Skill/Shotgun</v>
      </c>
      <c r="O14" t="str">
        <f>IF('InputFile(Skill)'!O14="", "", IFERROR(VLOOKUP('InputFile(Skill)'!O14, 検索用シート!$L$2:$M$14, 2, FALSE), ""))</f>
        <v/>
      </c>
      <c r="P14" t="str">
        <f>IF('InputFile(Skill)'!P14="", "", IFERROR(VLOOKUP('InputFile(Skill)'!P14, 検索用シート!$G$6:$H$7, 2, FALSE), ""))</f>
        <v/>
      </c>
      <c r="S14" t="s">
        <v>141</v>
      </c>
      <c r="T14">
        <v>10</v>
      </c>
      <c r="U14">
        <v>60</v>
      </c>
    </row>
    <row r="15" spans="1:21" x14ac:dyDescent="0.45">
      <c r="A15">
        <v>14</v>
      </c>
      <c r="B15" t="s">
        <v>142</v>
      </c>
      <c r="C15" t="str">
        <f>VLOOKUP('InputFile(Skill)'!C15, 検索用シート!$A$2:$B$6, 2, FALSE)</f>
        <v>Direction</v>
      </c>
      <c r="D15" t="str">
        <f>VLOOKUP('InputFile(Skill)'!D15, 検索用シート!$D$2:$E$5, 2, FALSE)</f>
        <v>Attack</v>
      </c>
      <c r="E15">
        <v>8</v>
      </c>
      <c r="F15">
        <v>15</v>
      </c>
      <c r="G15">
        <v>0</v>
      </c>
      <c r="H15">
        <v>0.3</v>
      </c>
      <c r="I15">
        <v>30</v>
      </c>
      <c r="J15">
        <f>VLOOKUP('InputFile(Skill)'!J15, 検索用シート!$G$2:$H$3, 2, FALSE)</f>
        <v>-1</v>
      </c>
      <c r="K15">
        <v>0</v>
      </c>
      <c r="L15" t="str">
        <f>検索用シート!$J$8 &amp; 'InputFile(Skill)'!L15</f>
        <v>Sprites/Icon/Sniper</v>
      </c>
      <c r="M15" t="str">
        <f>検索用シート!$J$2 &amp; 'InputFile(Skill)'!M15</f>
        <v>Effect/Skill/Sniper</v>
      </c>
      <c r="O15" t="str">
        <f>IF('InputFile(Skill)'!O15="", "", IFERROR(VLOOKUP('InputFile(Skill)'!O15, 検索用シート!$L$2:$M$14, 2, FALSE), ""))</f>
        <v/>
      </c>
      <c r="P15" t="str">
        <f>IF('InputFile(Skill)'!P15="", "", IFERROR(VLOOKUP('InputFile(Skill)'!P15, 検索用シート!$G$6:$H$7, 2, FALSE), ""))</f>
        <v/>
      </c>
      <c r="S15" t="s">
        <v>145</v>
      </c>
    </row>
    <row r="16" spans="1:21" x14ac:dyDescent="0.45">
      <c r="A16">
        <v>15</v>
      </c>
      <c r="B16" t="s">
        <v>146</v>
      </c>
      <c r="C16" t="str">
        <f>VLOOKUP('InputFile(Skill)'!C16, 検索用シート!$A$2:$B$6, 2, FALSE)</f>
        <v>Direction</v>
      </c>
      <c r="D16" t="str">
        <f>VLOOKUP('InputFile(Skill)'!D16, 検索用シート!$D$2:$E$5, 2, FALSE)</f>
        <v>Attack</v>
      </c>
      <c r="E16">
        <v>3</v>
      </c>
      <c r="F16">
        <v>10</v>
      </c>
      <c r="G16">
        <v>0</v>
      </c>
      <c r="H16">
        <v>0.2</v>
      </c>
      <c r="I16">
        <v>15</v>
      </c>
      <c r="J16">
        <f>VLOOKUP('InputFile(Skill)'!J16, 検索用シート!$G$2:$H$3, 2, FALSE)</f>
        <v>-1</v>
      </c>
      <c r="K16">
        <v>2</v>
      </c>
      <c r="L16" t="str">
        <f>検索用シート!$J$8 &amp; 'InputFile(Skill)'!L16</f>
        <v>Sprites/Icon/Knife</v>
      </c>
      <c r="M16" t="str">
        <f>検索用シート!$J$2 &amp; 'InputFile(Skill)'!M16</f>
        <v>Effect/Skill/Knife</v>
      </c>
      <c r="O16" t="str">
        <f>IF('InputFile(Skill)'!O16="", "", IFERROR(VLOOKUP('InputFile(Skill)'!O16, 検索用シート!$L$2:$M$14, 2, FALSE), ""))</f>
        <v/>
      </c>
      <c r="P16" t="str">
        <f>IF('InputFile(Skill)'!P16="", "", IFERROR(VLOOKUP('InputFile(Skill)'!P16, 検索用シート!$G$6:$H$7, 2, FALSE), ""))</f>
        <v/>
      </c>
      <c r="S16" t="s">
        <v>149</v>
      </c>
      <c r="T16">
        <v>3</v>
      </c>
      <c r="U16">
        <v>15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13"/>
  <sheetViews>
    <sheetView workbookViewId="0">
      <selection activeCell="B8" sqref="B8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A7" t="s">
        <v>152</v>
      </c>
      <c r="B7" t="s">
        <v>153</v>
      </c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L9" t="s">
        <v>64</v>
      </c>
      <c r="M9" t="s">
        <v>85</v>
      </c>
    </row>
    <row r="10" spans="1:13" x14ac:dyDescent="0.45">
      <c r="L10" t="s">
        <v>65</v>
      </c>
      <c r="M10" t="s">
        <v>86</v>
      </c>
    </row>
    <row r="11" spans="1:13" x14ac:dyDescent="0.45">
      <c r="L11" t="s">
        <v>66</v>
      </c>
      <c r="M11" t="s">
        <v>87</v>
      </c>
    </row>
    <row r="12" spans="1:13" x14ac:dyDescent="0.45">
      <c r="L12" t="s">
        <v>67</v>
      </c>
      <c r="M12" t="s">
        <v>88</v>
      </c>
    </row>
    <row r="13" spans="1:13" x14ac:dyDescent="0.45">
      <c r="L13" t="s">
        <v>68</v>
      </c>
      <c r="M13" t="s">
        <v>89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U16"/>
  <sheetViews>
    <sheetView tabSelected="1" topLeftCell="E1" workbookViewId="0">
      <selection activeCell="M13" sqref="M13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0.59765625" bestFit="1" customWidth="1"/>
  </cols>
  <sheetData>
    <row r="1" spans="1:21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  <c r="T1" t="s">
        <v>150</v>
      </c>
      <c r="U1" t="s">
        <v>151</v>
      </c>
    </row>
    <row r="2" spans="1:21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15</v>
      </c>
      <c r="J2" t="s">
        <v>31</v>
      </c>
      <c r="K2">
        <v>0</v>
      </c>
      <c r="L2" t="s">
        <v>126</v>
      </c>
      <c r="M2" t="s">
        <v>53</v>
      </c>
      <c r="N2" t="s">
        <v>127</v>
      </c>
      <c r="S2" t="s">
        <v>42</v>
      </c>
    </row>
    <row r="3" spans="1:21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L3" t="s">
        <v>125</v>
      </c>
      <c r="M3" t="s">
        <v>51</v>
      </c>
      <c r="N3" t="s">
        <v>127</v>
      </c>
      <c r="O3" t="s">
        <v>78</v>
      </c>
      <c r="P3" t="s">
        <v>73</v>
      </c>
      <c r="Q3">
        <v>5</v>
      </c>
      <c r="R3">
        <v>0.2</v>
      </c>
      <c r="S3" t="s">
        <v>52</v>
      </c>
    </row>
    <row r="4" spans="1:21" x14ac:dyDescent="0.45">
      <c r="A4">
        <f>ROW()-1</f>
        <v>3</v>
      </c>
      <c r="B4" t="s">
        <v>119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5</v>
      </c>
      <c r="L4" t="s">
        <v>122</v>
      </c>
      <c r="M4" t="s">
        <v>120</v>
      </c>
      <c r="N4" t="s">
        <v>127</v>
      </c>
      <c r="S4" t="s">
        <v>121</v>
      </c>
    </row>
    <row r="5" spans="1:21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L5" t="s">
        <v>123</v>
      </c>
      <c r="M5" t="s">
        <v>55</v>
      </c>
      <c r="S5" t="s">
        <v>56</v>
      </c>
    </row>
    <row r="6" spans="1:21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104</v>
      </c>
      <c r="M6" t="s">
        <v>91</v>
      </c>
      <c r="N6" t="s">
        <v>128</v>
      </c>
      <c r="O6" t="s">
        <v>92</v>
      </c>
      <c r="P6" t="s">
        <v>73</v>
      </c>
      <c r="Q6">
        <v>3</v>
      </c>
      <c r="R6">
        <v>0</v>
      </c>
      <c r="S6" t="s">
        <v>93</v>
      </c>
    </row>
    <row r="7" spans="1:21" x14ac:dyDescent="0.45">
      <c r="A7">
        <f t="shared" si="0"/>
        <v>6</v>
      </c>
      <c r="B7" t="s">
        <v>94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105</v>
      </c>
      <c r="M7" t="s">
        <v>95</v>
      </c>
      <c r="N7" t="s">
        <v>129</v>
      </c>
      <c r="O7" t="s">
        <v>77</v>
      </c>
      <c r="P7" t="s">
        <v>73</v>
      </c>
      <c r="Q7">
        <v>10</v>
      </c>
      <c r="R7">
        <v>0.1</v>
      </c>
      <c r="S7" t="s">
        <v>96</v>
      </c>
    </row>
    <row r="8" spans="1:21" x14ac:dyDescent="0.45">
      <c r="A8">
        <f t="shared" si="0"/>
        <v>7</v>
      </c>
      <c r="B8" t="s">
        <v>97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L8" t="s">
        <v>124</v>
      </c>
      <c r="M8" t="s">
        <v>98</v>
      </c>
      <c r="N8" t="s">
        <v>130</v>
      </c>
      <c r="O8" t="s">
        <v>60</v>
      </c>
      <c r="P8" t="s">
        <v>73</v>
      </c>
      <c r="Q8">
        <v>10</v>
      </c>
      <c r="R8">
        <v>2</v>
      </c>
      <c r="S8" t="s">
        <v>99</v>
      </c>
    </row>
    <row r="9" spans="1:21" x14ac:dyDescent="0.45">
      <c r="A9">
        <f t="shared" si="0"/>
        <v>8</v>
      </c>
      <c r="B9" t="s">
        <v>100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106</v>
      </c>
      <c r="M9" t="s">
        <v>101</v>
      </c>
      <c r="O9" t="s">
        <v>76</v>
      </c>
      <c r="P9" t="s">
        <v>102</v>
      </c>
      <c r="Q9">
        <v>10</v>
      </c>
      <c r="R9">
        <v>1.2</v>
      </c>
      <c r="S9" t="s">
        <v>103</v>
      </c>
    </row>
    <row r="10" spans="1:21" x14ac:dyDescent="0.45">
      <c r="A10">
        <f t="shared" ref="A10:A16" si="1">ROW()-1</f>
        <v>9</v>
      </c>
      <c r="B10" t="s">
        <v>107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108</v>
      </c>
      <c r="M10" t="s">
        <v>118</v>
      </c>
      <c r="O10" t="s">
        <v>77</v>
      </c>
      <c r="P10" t="s">
        <v>102</v>
      </c>
      <c r="Q10">
        <v>10</v>
      </c>
      <c r="R10">
        <v>1.5</v>
      </c>
      <c r="S10" t="s">
        <v>109</v>
      </c>
    </row>
    <row r="11" spans="1:21" x14ac:dyDescent="0.45">
      <c r="A11">
        <f t="shared" si="1"/>
        <v>10</v>
      </c>
      <c r="B11" t="s">
        <v>110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112</v>
      </c>
      <c r="M11" t="s">
        <v>113</v>
      </c>
      <c r="O11" t="s">
        <v>78</v>
      </c>
      <c r="P11" t="s">
        <v>102</v>
      </c>
      <c r="Q11">
        <v>10</v>
      </c>
      <c r="R11">
        <v>1.5</v>
      </c>
      <c r="S11" t="s">
        <v>111</v>
      </c>
    </row>
    <row r="12" spans="1:21" x14ac:dyDescent="0.45">
      <c r="A12">
        <f t="shared" si="1"/>
        <v>11</v>
      </c>
      <c r="B12" t="s">
        <v>114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115</v>
      </c>
      <c r="M12" t="s">
        <v>116</v>
      </c>
      <c r="S12" t="s">
        <v>117</v>
      </c>
    </row>
    <row r="13" spans="1:21" x14ac:dyDescent="0.45">
      <c r="A13">
        <f t="shared" si="1"/>
        <v>12</v>
      </c>
      <c r="B13" t="s">
        <v>135</v>
      </c>
      <c r="C13" t="s">
        <v>12</v>
      </c>
      <c r="D13" t="s">
        <v>21</v>
      </c>
      <c r="E13">
        <v>10</v>
      </c>
      <c r="F13">
        <v>10</v>
      </c>
      <c r="G13">
        <v>0</v>
      </c>
      <c r="H13">
        <v>0.8</v>
      </c>
      <c r="I13">
        <v>0</v>
      </c>
      <c r="J13" t="s">
        <v>50</v>
      </c>
      <c r="K13">
        <v>0</v>
      </c>
      <c r="L13" t="s">
        <v>137</v>
      </c>
      <c r="M13" t="s">
        <v>137</v>
      </c>
      <c r="N13" t="s">
        <v>137</v>
      </c>
      <c r="S13" t="s">
        <v>138</v>
      </c>
    </row>
    <row r="14" spans="1:21" x14ac:dyDescent="0.45">
      <c r="A14">
        <f t="shared" si="1"/>
        <v>13</v>
      </c>
      <c r="B14" t="s">
        <v>140</v>
      </c>
      <c r="C14" t="s">
        <v>11</v>
      </c>
      <c r="D14" t="s">
        <v>21</v>
      </c>
      <c r="E14">
        <v>1</v>
      </c>
      <c r="F14">
        <v>10</v>
      </c>
      <c r="G14">
        <v>0</v>
      </c>
      <c r="H14">
        <v>0</v>
      </c>
      <c r="I14">
        <v>20</v>
      </c>
      <c r="J14" t="s">
        <v>50</v>
      </c>
      <c r="K14">
        <v>0</v>
      </c>
      <c r="L14" t="s">
        <v>154</v>
      </c>
      <c r="M14" t="s">
        <v>154</v>
      </c>
      <c r="S14" t="s">
        <v>141</v>
      </c>
      <c r="T14">
        <v>10</v>
      </c>
      <c r="U14">
        <v>60</v>
      </c>
    </row>
    <row r="15" spans="1:21" x14ac:dyDescent="0.45">
      <c r="A15">
        <f t="shared" si="1"/>
        <v>14</v>
      </c>
      <c r="B15" t="s">
        <v>143</v>
      </c>
      <c r="C15" t="s">
        <v>11</v>
      </c>
      <c r="D15" t="s">
        <v>21</v>
      </c>
      <c r="E15">
        <v>8</v>
      </c>
      <c r="F15">
        <v>15</v>
      </c>
      <c r="G15">
        <v>0</v>
      </c>
      <c r="H15">
        <v>0.3</v>
      </c>
      <c r="I15">
        <v>30</v>
      </c>
      <c r="J15" t="s">
        <v>50</v>
      </c>
      <c r="K15">
        <v>0</v>
      </c>
      <c r="L15" t="s">
        <v>144</v>
      </c>
      <c r="M15" t="s">
        <v>144</v>
      </c>
      <c r="S15" t="s">
        <v>145</v>
      </c>
    </row>
    <row r="16" spans="1:21" x14ac:dyDescent="0.45">
      <c r="A16">
        <f t="shared" si="1"/>
        <v>15</v>
      </c>
      <c r="B16" t="s">
        <v>147</v>
      </c>
      <c r="C16" t="s">
        <v>11</v>
      </c>
      <c r="D16" t="s">
        <v>21</v>
      </c>
      <c r="E16">
        <v>3</v>
      </c>
      <c r="F16">
        <v>10</v>
      </c>
      <c r="G16">
        <v>0</v>
      </c>
      <c r="H16">
        <v>0.2</v>
      </c>
      <c r="I16">
        <v>15</v>
      </c>
      <c r="J16" t="s">
        <v>50</v>
      </c>
      <c r="K16">
        <v>2</v>
      </c>
      <c r="L16" t="s">
        <v>148</v>
      </c>
      <c r="M16" t="s">
        <v>148</v>
      </c>
      <c r="S16" t="s">
        <v>149</v>
      </c>
      <c r="T16">
        <v>3</v>
      </c>
      <c r="U16">
        <v>15</v>
      </c>
    </row>
  </sheetData>
  <phoneticPr fontId="1"/>
  <dataValidations count="3">
    <dataValidation type="decimal" allowBlank="1" showInputMessage="1" showErrorMessage="1" sqref="E2:I16" xr:uid="{1DD7AC07-48F3-4158-AFAE-9A67E1197F38}">
      <formula1>0</formula1>
      <formula2>600</formula2>
    </dataValidation>
    <dataValidation type="whole" allowBlank="1" showInputMessage="1" showErrorMessage="1" sqref="K2:K16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20</xdr:row>
                    <xdr:rowOff>7620</xdr:rowOff>
                  </from>
                  <to>
                    <xdr:col>19</xdr:col>
                    <xdr:colOff>7620</xdr:colOff>
                    <xdr:row>22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5A0A6037-F450-4342-8C2E-1B714890B523}">
          <x14:formula1>
            <xm:f>検索用シート!$A$2:$A$6</xm:f>
          </x14:formula1>
          <xm:sqref>C2:C16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D2:D16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J2:J16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P2:P16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O2:O16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2026-09-24T05:25:49Z</dcterms:modified>
</cp:coreProperties>
</file>