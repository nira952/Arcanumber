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StreamingAssets\Excel\"/>
    </mc:Choice>
  </mc:AlternateContent>
  <xr:revisionPtr revIDLastSave="0" documentId="13_ncr:1_{5BF48807-A024-4405-9C29-14A50F785D9D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K12" i="2" s="1"/>
  <c r="D13" i="1"/>
  <c r="K13" i="2" s="1"/>
  <c r="D14" i="1"/>
  <c r="D15" i="1"/>
  <c r="D16" i="1"/>
  <c r="K16" i="2" s="1"/>
  <c r="D17" i="1"/>
  <c r="K17" i="2" s="1"/>
  <c r="D18" i="1"/>
  <c r="D19" i="1"/>
  <c r="K19" i="2" s="1"/>
  <c r="D20" i="1"/>
  <c r="K20" i="2" s="1"/>
  <c r="D21" i="1"/>
  <c r="K21" i="2" s="1"/>
  <c r="D22" i="1"/>
  <c r="K22" i="2" s="1"/>
  <c r="D23" i="1"/>
  <c r="D24" i="1"/>
  <c r="K24" i="2" s="1"/>
  <c r="D25" i="1"/>
  <c r="K25" i="2" s="1"/>
  <c r="D26" i="1"/>
  <c r="D27" i="1"/>
  <c r="D28" i="1"/>
  <c r="D29" i="1"/>
  <c r="D30" i="1"/>
  <c r="D31" i="1"/>
  <c r="D32" i="1"/>
  <c r="D33" i="1"/>
  <c r="K33" i="2" s="1"/>
  <c r="D34" i="1"/>
  <c r="D35" i="1"/>
  <c r="D36" i="1"/>
  <c r="D37" i="1"/>
  <c r="K37" i="2" s="1"/>
  <c r="D38" i="1"/>
  <c r="D39" i="1"/>
  <c r="D40" i="1"/>
  <c r="K40" i="2" s="1"/>
  <c r="D41" i="1"/>
  <c r="D42" i="1"/>
  <c r="D43" i="1"/>
  <c r="D44" i="1"/>
  <c r="K44" i="2" s="1"/>
  <c r="D45" i="1"/>
  <c r="K45" i="2" s="1"/>
  <c r="J2" i="2"/>
  <c r="K2" i="2"/>
  <c r="K10" i="2"/>
  <c r="K11" i="2"/>
  <c r="K15" i="2"/>
  <c r="K23" i="2"/>
  <c r="K27" i="2"/>
  <c r="K5" i="2"/>
  <c r="K6" i="2"/>
  <c r="K7" i="2"/>
  <c r="K9" i="2"/>
  <c r="K18" i="2"/>
  <c r="K29" i="2"/>
  <c r="K30" i="2"/>
  <c r="K31" i="2"/>
  <c r="K41" i="2"/>
  <c r="K42" i="2"/>
  <c r="K43" i="2"/>
  <c r="K3" i="2"/>
  <c r="K4" i="2"/>
  <c r="K8" i="2"/>
  <c r="K14" i="2"/>
  <c r="K26" i="2"/>
  <c r="K28" i="2"/>
  <c r="K32" i="2"/>
  <c r="K34" i="2"/>
  <c r="K35" i="2"/>
  <c r="K36" i="2"/>
  <c r="K38" i="2"/>
  <c r="K39" i="2"/>
  <c r="G2" i="2"/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<sst xmlns="http://schemas.openxmlformats.org/spreadsheetml/2006/main" count="271" uniqueCount="151">
  <si>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</si>
  <si>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</si>
  <si>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</si>
  <si>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</si>
  <si>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</si>
  <si>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</si>
  <si>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</si>
  <si>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</si>
  <si>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</si>
  <si>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</si>
  <si>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</si>
  <si>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</si>
  <si>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</si>
  <si>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</si>
  <si>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</si>
  <si>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</si>
  <si>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</si>
  <si>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</si>
  <si>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</si>
  <si>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</si>
  <si>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</si>
  <si>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</si>
  <si>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</si>
  <si>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</si>
  <si>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</si>
  <si>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</si>
  <si>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</si>
  <si>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</si>
  <si>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</si>
  <si>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</si>
  <si>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</si>
  <si>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</si>
  <si>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</si>
  <si>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</si>
  <si>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</si>
  <si>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</si>
  <si>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</si>
  <si>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</si>
  <si>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</si>
  <si>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</si>
  <si>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</si>
  <si>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</si>
  <si>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</si>
  <si>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</si>
  <si>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</si>
  <si>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</si>
  <si>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</si>
  <si>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</si>
  <si>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</si>
  <si>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</si>
  <si>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</si>
  <si>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</si>
  <si>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</si>
  <si>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</si>
  <si>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</si>
  <si>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</si>
  <si>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</si>
  <si>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</si>
  <si>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</si>
  <si>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</si>
  <si>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</si>
  <si>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</si>
  <si>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</si>
  <si>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</si>
  <si>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</si>
  <si>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</si>
  <si>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</si>
  <si>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</si>
  <si>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</si>
  <si>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</si>
  <si>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</si>
  <si>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</si>
  <si>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</si>
  <si>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</si>
  <si>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</si>
  <si>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</si>
  <si>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</si>
  <si>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</si>
  <si>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</si>
  <si>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</si>
  <si>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</si>
  <si>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</si>
  <si>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</si>
  <si>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</si>
  <si>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</si>
  <si>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</si>
  <si>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</si>
  <si>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</si>
  <si>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</si>
  <si>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</si>
  <si>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</si>
  <si>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</si>
  <si>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</si>
  <si>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</si>
  <si>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</si>
  <si>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</si>
  <si>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</si>
  <si>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</si>
  <si>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</si>
  <si>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</si>
  <si>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</si>
  <si>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</si>
  <si>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</si>
  <si>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</si>
  <si>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</si>
  <si>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</si>
  <si>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</si>
  <si>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</si>
  <si>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</si>
  <si>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</si>
  <si>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</si>
  <si>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</si>
  <si>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</si>
  <si>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</si>
  <si>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</si>
  <si>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</si>
  <si>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</si>
  <si>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</si>
  <si>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</si>
  <si>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</si>
  <si>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</si>
  <si>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</si>
  <si>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</si>
  <si>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</si>
  <si>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</si>
  <si>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</si>
  <si>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</si>
  <si>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</si>
  <si>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</si>
  <si>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</si>
  <si>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</si>
  <si>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</si>
  <si>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</si>
  <si>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</si>
  <si>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</si>
  <si>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</si>
  <si>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</si>
  <si>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</si>
  <si>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</si>
  <si>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</si>
  <si>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</si>
  <si>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</si>
  <si>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</si>
  <si>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</si>
  <si>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</si>
  <si>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</si>
  <si>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</si>
  <si>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</si>
  <si>
    <t>画像名</t>
    <rPh sb="0" eb="3">
      <t>ガゾウメイ</t>
    </rPh>
    <phoneticPr fontId="1"/>
  </si>
  <si>
    <t>画像</t>
    <rPh sb="0" eb="2">
      <t>ガゾウ</t>
    </rPh>
    <phoneticPr fontId="1"/>
  </si>
  <si>
    <t>Sprites/Arcana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</si>
</sst>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 dataDxfId="10">
      <calculatedColumnFormula>TEXT(A2, "00")&amp;VLOOKUP(ArcanaMaster[[#This Row],[名前]],選択用フィールド!$D$2:$E$23,2,FALSE)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K45">
  <autoFilter ref="A1:K45" xr:uid="{48DDBA56-844D-4376-B3AF-39BFA95D20A0}"/>
  <tableColumns count="11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9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8">
      <calculatedColumnFormula>VLOOKUP(InputData[[#This Row],[発動条件]],選択用フィールド!$A$2:$B$6,2,FALSE)</calculatedColumnFormula>
    </tableColumn>
    <tableColumn id="5" xr3:uid="{32000BF7-9753-45FD-B2D6-344E111A7D1C}" name="クールタイム" dataDxfId="7">
      <calculatedColumnFormula>InputData[[#This Row],[クールタイム]]</calculatedColumnFormula>
    </tableColumn>
    <tableColumn id="10" xr3:uid="{62D4CF48-CF16-4BA3-A2CA-142A0A4DAAA4}" name="効果時間" dataDxfId="6">
      <calculatedColumnFormula>InputData[[#This Row],[効果数値]]</calculatedColumnFormula>
    </tableColumn>
    <tableColumn id="6" xr3:uid="{55BA9E8F-6644-465A-AB88-421F37320DF0}" name="エフェクト" dataDxfId="5">
      <calculatedColumnFormula>選択用フィールド!$G$2&amp;"/"&amp;InputData[[#This Row],[エフェクト]]</calculatedColumnFormula>
    </tableColumn>
    <tableColumn id="7" xr3:uid="{6B3E9D4E-9BFE-45EB-B383-B8876BCA5578}" name="効果音" dataDxfId="4">
      <calculatedColumnFormula>InputData[[#This Row],[効果音]]</calculatedColumnFormula>
    </tableColumn>
    <tableColumn id="8" xr3:uid="{DCFB5C57-5B5E-4F36-8AA3-07C99FB1DC34}" name="説明" totalsRowFunction="count" dataDxfId="3">
      <calculatedColumnFormula>InputData[[#This Row],[説明]]</calculatedColumnFormula>
    </tableColumn>
    <tableColumn id="9" xr3:uid="{8A63BDCB-9472-4EC5-B67D-57234FDEFD85}" name="Key" dataDxfId="2">
      <calculatedColumnFormula>"Arcana"&amp;TEXT(A2, "00")&amp;VLOOKUP(ArcanaData[[#This Row],[名前]],選択用フィールド!$D$2:$E$23,2,FALSE)&amp;ArcanaMaster[[#This Row],[位置]]</calculatedColumnFormula>
    </tableColumn>
    <tableColumn id="11" xr3:uid="{F0FC27E1-0D0A-4555-A1DD-B8896D370E83}" name="画像" dataDxfId="1">
      <calculatedColumnFormula>選択用フィールド!$G$8&amp;"/"&amp;ArcanaMaster[[#This Row],[画像]]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workbookViewId="0">
      <selection activeCell="D2" sqref="D2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  <c r="D2" t="str">
        <f>TEXT(A2, "00")&amp;VLOOKUP(ArcanaMaster[[#This Row],[名前]],選択用フィールド!$D$2:$E$23,2,FALSE)</f>
        <v>00Fool</v>
      </c>
    </row>
    <row r="3" spans="1:4" x14ac:dyDescent="0.45">
      <c r="A3">
        <v>0</v>
      </c>
      <c r="B3" t="s">
        <v>9</v>
      </c>
      <c r="C3" t="s">
        <v>10</v>
      </c>
      <c r="D3" t="str">
        <f>TEXT(A3, "00")&amp;VLOOKUP(ArcanaMaster[[#This Row],[名前]],選択用フィールド!$D$2:$E$23,2,FALSE)</f>
        <v>00Fool</v>
      </c>
    </row>
    <row r="4" spans="1:4" x14ac:dyDescent="0.45">
      <c r="A4">
        <v>1</v>
      </c>
      <c r="B4" t="s">
        <v>8</v>
      </c>
      <c r="C4" t="s">
        <v>11</v>
      </c>
      <c r="D4" t="str">
        <f>TEXT(A4, "00")&amp;VLOOKUP(ArcanaMaster[[#This Row],[名前]],選択用フィールド!$D$2:$E$23,2,FALSE)</f>
        <v>01Magician</v>
      </c>
    </row>
    <row r="5" spans="1:4" x14ac:dyDescent="0.45">
      <c r="A5">
        <v>1</v>
      </c>
      <c r="B5" t="s">
        <v>9</v>
      </c>
      <c r="C5" t="s">
        <v>11</v>
      </c>
      <c r="D5" t="str">
        <f>TEXT(A5, "00")&amp;VLOOKUP(ArcanaMaster[[#This Row],[名前]],選択用フィールド!$D$2:$E$23,2,FALSE)</f>
        <v>01Magician</v>
      </c>
    </row>
    <row r="6" spans="1:4" x14ac:dyDescent="0.45">
      <c r="A6">
        <v>2</v>
      </c>
      <c r="B6" t="s">
        <v>8</v>
      </c>
      <c r="C6" t="s">
        <v>12</v>
      </c>
      <c r="D6" t="str">
        <f>TEXT(A6, "00")&amp;VLOOKUP(ArcanaMaster[[#This Row],[名前]],選択用フィールド!$D$2:$E$23,2,FALSE)</f>
        <v>02HighPriestess</v>
      </c>
    </row>
    <row r="7" spans="1:4" x14ac:dyDescent="0.45">
      <c r="A7">
        <v>2</v>
      </c>
      <c r="B7" t="s">
        <v>9</v>
      </c>
      <c r="C7" t="s">
        <v>12</v>
      </c>
      <c r="D7" t="str">
        <f>TEXT(A7, "00")&amp;VLOOKUP(ArcanaMaster[[#This Row],[名前]],選択用フィールド!$D$2:$E$23,2,FALSE)</f>
        <v>02HighPriestess</v>
      </c>
    </row>
    <row r="8" spans="1:4" x14ac:dyDescent="0.45">
      <c r="A8">
        <v>3</v>
      </c>
      <c r="B8" t="s">
        <v>8</v>
      </c>
      <c r="C8" t="s">
        <v>13</v>
      </c>
      <c r="D8" t="str">
        <f>TEXT(A8, "00")&amp;VLOOKUP(ArcanaMaster[[#This Row],[名前]],選択用フィールド!$D$2:$E$23,2,FALSE)</f>
        <v>03Empress</v>
      </c>
    </row>
    <row r="9" spans="1:4" x14ac:dyDescent="0.45">
      <c r="A9">
        <v>3</v>
      </c>
      <c r="B9" t="s">
        <v>9</v>
      </c>
      <c r="C9" t="s">
        <v>13</v>
      </c>
      <c r="D9" t="str">
        <f>TEXT(A9, "00")&amp;VLOOKUP(ArcanaMaster[[#This Row],[名前]],選択用フィールド!$D$2:$E$23,2,FALSE)</f>
        <v>03Empress</v>
      </c>
    </row>
    <row r="10" spans="1:4" x14ac:dyDescent="0.45">
      <c r="A10">
        <v>4</v>
      </c>
      <c r="B10" t="s">
        <v>8</v>
      </c>
      <c r="C10" t="s">
        <v>14</v>
      </c>
      <c r="D10" t="str">
        <f>TEXT(A10, "00")&amp;VLOOKUP(ArcanaMaster[[#This Row],[名前]],選択用フィールド!$D$2:$E$23,2,FALSE)</f>
        <v>04Emperor</v>
      </c>
    </row>
    <row r="11" spans="1:4" x14ac:dyDescent="0.45">
      <c r="A11">
        <v>4</v>
      </c>
      <c r="B11" t="s">
        <v>9</v>
      </c>
      <c r="C11" t="s">
        <v>14</v>
      </c>
      <c r="D11" t="str">
        <f>TEXT(A11, "00")&amp;VLOOKUP(ArcanaMaster[[#This Row],[名前]],選択用フィールド!$D$2:$E$23,2,FALSE)</f>
        <v>04Emperor</v>
      </c>
    </row>
    <row r="12" spans="1:4" x14ac:dyDescent="0.45">
      <c r="A12">
        <v>5</v>
      </c>
      <c r="B12" t="s">
        <v>8</v>
      </c>
      <c r="C12" t="s">
        <v>15</v>
      </c>
      <c r="D12" t="str">
        <f>TEXT(A12, "00")&amp;VLOOKUP(ArcanaMaster[[#This Row],[名前]],選択用フィールド!$D$2:$E$23,2,FALSE)</f>
        <v>05Hierophant</v>
      </c>
    </row>
    <row r="13" spans="1:4" x14ac:dyDescent="0.45">
      <c r="A13">
        <v>5</v>
      </c>
      <c r="B13" t="s">
        <v>9</v>
      </c>
      <c r="C13" t="s">
        <v>15</v>
      </c>
      <c r="D13" t="str">
        <f>TEXT(A13, "00")&amp;VLOOKUP(ArcanaMaster[[#This Row],[名前]],選択用フィールド!$D$2:$E$23,2,FALSE)</f>
        <v>05Hierophant</v>
      </c>
    </row>
    <row r="14" spans="1:4" x14ac:dyDescent="0.45">
      <c r="A14">
        <v>6</v>
      </c>
      <c r="B14" t="s">
        <v>8</v>
      </c>
      <c r="C14" t="s">
        <v>16</v>
      </c>
      <c r="D14" t="str">
        <f>TEXT(A14, "00")&amp;VLOOKUP(ArcanaMaster[[#This Row],[名前]],選択用フィールド!$D$2:$E$23,2,FALSE)</f>
        <v>06Lovers</v>
      </c>
    </row>
    <row r="15" spans="1:4" x14ac:dyDescent="0.45">
      <c r="A15">
        <v>6</v>
      </c>
      <c r="B15" t="s">
        <v>9</v>
      </c>
      <c r="C15" t="s">
        <v>16</v>
      </c>
      <c r="D15" t="str">
        <f>TEXT(A15, "00")&amp;VLOOKUP(ArcanaMaster[[#This Row],[名前]],選択用フィールド!$D$2:$E$23,2,FALSE)</f>
        <v>06Lovers</v>
      </c>
    </row>
    <row r="16" spans="1:4" x14ac:dyDescent="0.45">
      <c r="A16">
        <v>7</v>
      </c>
      <c r="B16" t="s">
        <v>8</v>
      </c>
      <c r="C16" t="s">
        <v>17</v>
      </c>
      <c r="D16" t="str">
        <f>TEXT(A16, "00")&amp;VLOOKUP(ArcanaMaster[[#This Row],[名前]],選択用フィールド!$D$2:$E$23,2,FALSE)</f>
        <v>07Chariot</v>
      </c>
    </row>
    <row r="17" spans="1:4" x14ac:dyDescent="0.45">
      <c r="A17">
        <v>7</v>
      </c>
      <c r="B17" t="s">
        <v>9</v>
      </c>
      <c r="C17" t="s">
        <v>17</v>
      </c>
      <c r="D17" t="str">
        <f>TEXT(A17, "00")&amp;VLOOKUP(ArcanaMaster[[#This Row],[名前]],選択用フィールド!$D$2:$E$23,2,FALSE)</f>
        <v>07Chariot</v>
      </c>
    </row>
    <row r="18" spans="1:4" x14ac:dyDescent="0.45">
      <c r="A18">
        <v>8</v>
      </c>
      <c r="B18" t="s">
        <v>8</v>
      </c>
      <c r="C18" t="s">
        <v>18</v>
      </c>
      <c r="D18" t="str">
        <f>TEXT(A18, "00")&amp;VLOOKUP(ArcanaMaster[[#This Row],[名前]],選択用フィールド!$D$2:$E$23,2,FALSE)</f>
        <v>08Strength</v>
      </c>
    </row>
    <row r="19" spans="1:4" x14ac:dyDescent="0.45">
      <c r="A19">
        <v>8</v>
      </c>
      <c r="B19" t="s">
        <v>9</v>
      </c>
      <c r="C19" t="s">
        <v>18</v>
      </c>
      <c r="D19" t="str">
        <f>TEXT(A19, "00")&amp;VLOOKUP(ArcanaMaster[[#This Row],[名前]],選択用フィールド!$D$2:$E$23,2,FALSE)</f>
        <v>08Strength</v>
      </c>
    </row>
    <row r="20" spans="1:4" x14ac:dyDescent="0.45">
      <c r="A20">
        <v>9</v>
      </c>
      <c r="B20" t="s">
        <v>8</v>
      </c>
      <c r="C20" t="s">
        <v>19</v>
      </c>
      <c r="D20" t="str">
        <f>TEXT(A20, "00")&amp;VLOOKUP(ArcanaMaster[[#This Row],[名前]],選択用フィールド!$D$2:$E$23,2,FALSE)</f>
        <v>09Hermit</v>
      </c>
    </row>
    <row r="21" spans="1:4" x14ac:dyDescent="0.45">
      <c r="A21">
        <v>9</v>
      </c>
      <c r="B21" t="s">
        <v>9</v>
      </c>
      <c r="C21" t="s">
        <v>19</v>
      </c>
      <c r="D21" t="str">
        <f>TEXT(A21, "00")&amp;VLOOKUP(ArcanaMaster[[#This Row],[名前]],選択用フィールド!$D$2:$E$23,2,FALSE)</f>
        <v>09Hermit</v>
      </c>
    </row>
    <row r="22" spans="1:4" x14ac:dyDescent="0.45">
      <c r="A22">
        <v>10</v>
      </c>
      <c r="B22" t="s">
        <v>8</v>
      </c>
      <c r="C22" t="s">
        <v>20</v>
      </c>
      <c r="D22" t="str">
        <f>TEXT(A22, "00")&amp;VLOOKUP(ArcanaMaster[[#This Row],[名前]],選択用フィールド!$D$2:$E$23,2,FALSE)</f>
        <v>10WheelOfFortune</v>
      </c>
    </row>
    <row r="23" spans="1:4" x14ac:dyDescent="0.45">
      <c r="A23">
        <v>10</v>
      </c>
      <c r="B23" t="s">
        <v>9</v>
      </c>
      <c r="C23" t="s">
        <v>20</v>
      </c>
      <c r="D23" t="str">
        <f>TEXT(A23, "00")&amp;VLOOKUP(ArcanaMaster[[#This Row],[名前]],選択用フィールド!$D$2:$E$23,2,FALSE)</f>
        <v>10WheelOfFortune</v>
      </c>
    </row>
    <row r="24" spans="1:4" x14ac:dyDescent="0.45">
      <c r="A24">
        <v>11</v>
      </c>
      <c r="B24" t="s">
        <v>8</v>
      </c>
      <c r="C24" t="s">
        <v>21</v>
      </c>
      <c r="D24" t="str">
        <f>TEXT(A24, "00")&amp;VLOOKUP(ArcanaMaster[[#This Row],[名前]],選択用フィールド!$D$2:$E$23,2,FALSE)</f>
        <v>11Justice</v>
      </c>
    </row>
    <row r="25" spans="1:4" x14ac:dyDescent="0.45">
      <c r="A25">
        <v>11</v>
      </c>
      <c r="B25" t="s">
        <v>9</v>
      </c>
      <c r="C25" t="s">
        <v>21</v>
      </c>
      <c r="D25" t="str">
        <f>TEXT(A25, "00")&amp;VLOOKUP(ArcanaMaster[[#This Row],[名前]],選択用フィールド!$D$2:$E$23,2,FALSE)</f>
        <v>11Justice</v>
      </c>
    </row>
    <row r="26" spans="1:4" x14ac:dyDescent="0.45">
      <c r="A26">
        <v>12</v>
      </c>
      <c r="B26" t="s">
        <v>8</v>
      </c>
      <c r="C26" t="s">
        <v>22</v>
      </c>
      <c r="D26" t="str">
        <f>TEXT(A26, "00")&amp;VLOOKUP(ArcanaMaster[[#This Row],[名前]],選択用フィールド!$D$2:$E$23,2,FALSE)</f>
        <v>12HangedMan</v>
      </c>
    </row>
    <row r="27" spans="1:4" x14ac:dyDescent="0.45">
      <c r="A27">
        <v>12</v>
      </c>
      <c r="B27" t="s">
        <v>9</v>
      </c>
      <c r="C27" t="s">
        <v>22</v>
      </c>
      <c r="D27" t="str">
        <f>TEXT(A27, "00")&amp;VLOOKUP(ArcanaMaster[[#This Row],[名前]],選択用フィールド!$D$2:$E$23,2,FALSE)</f>
        <v>12HangedMan</v>
      </c>
    </row>
    <row r="28" spans="1:4" x14ac:dyDescent="0.45">
      <c r="A28">
        <v>13</v>
      </c>
      <c r="B28" t="s">
        <v>8</v>
      </c>
      <c r="C28" t="s">
        <v>23</v>
      </c>
      <c r="D28" t="str">
        <f>TEXT(A28, "00")&amp;VLOOKUP(ArcanaMaster[[#This Row],[名前]],選択用フィールド!$D$2:$E$23,2,FALSE)</f>
        <v>13Death</v>
      </c>
    </row>
    <row r="29" spans="1:4" x14ac:dyDescent="0.45">
      <c r="A29">
        <v>13</v>
      </c>
      <c r="B29" t="s">
        <v>9</v>
      </c>
      <c r="C29" t="s">
        <v>23</v>
      </c>
      <c r="D29" t="str">
        <f>TEXT(A29, "00")&amp;VLOOKUP(ArcanaMaster[[#This Row],[名前]],選択用フィールド!$D$2:$E$23,2,FALSE)</f>
        <v>13Death</v>
      </c>
    </row>
    <row r="30" spans="1:4" x14ac:dyDescent="0.45">
      <c r="A30">
        <v>14</v>
      </c>
      <c r="B30" t="s">
        <v>8</v>
      </c>
      <c r="C30" t="s">
        <v>24</v>
      </c>
      <c r="D30" t="str">
        <f>TEXT(A30, "00")&amp;VLOOKUP(ArcanaMaster[[#This Row],[名前]],選択用フィールド!$D$2:$E$23,2,FALSE)</f>
        <v>14Temperance</v>
      </c>
    </row>
    <row r="31" spans="1:4" x14ac:dyDescent="0.45">
      <c r="A31">
        <v>14</v>
      </c>
      <c r="B31" t="s">
        <v>9</v>
      </c>
      <c r="C31" t="s">
        <v>24</v>
      </c>
      <c r="D31" t="str">
        <f>TEXT(A31, "00")&amp;VLOOKUP(ArcanaMaster[[#This Row],[名前]],選択用フィールド!$D$2:$E$23,2,FALSE)</f>
        <v>14Temperance</v>
      </c>
    </row>
    <row r="32" spans="1:4" x14ac:dyDescent="0.45">
      <c r="A32">
        <v>15</v>
      </c>
      <c r="B32" t="s">
        <v>8</v>
      </c>
      <c r="C32" t="s">
        <v>25</v>
      </c>
      <c r="D32" t="str">
        <f>TEXT(A32, "00")&amp;VLOOKUP(ArcanaMaster[[#This Row],[名前]],選択用フィールド!$D$2:$E$23,2,FALSE)</f>
        <v>15Devil</v>
      </c>
    </row>
    <row r="33" spans="1:4" x14ac:dyDescent="0.45">
      <c r="A33">
        <v>15</v>
      </c>
      <c r="B33" t="s">
        <v>9</v>
      </c>
      <c r="C33" t="s">
        <v>25</v>
      </c>
      <c r="D33" t="str">
        <f>TEXT(A33, "00")&amp;VLOOKUP(ArcanaMaster[[#This Row],[名前]],選択用フィールド!$D$2:$E$23,2,FALSE)</f>
        <v>15Devil</v>
      </c>
    </row>
    <row r="34" spans="1:4" x14ac:dyDescent="0.45">
      <c r="A34">
        <v>16</v>
      </c>
      <c r="B34" t="s">
        <v>8</v>
      </c>
      <c r="C34" t="s">
        <v>27</v>
      </c>
      <c r="D34" t="str">
        <f>TEXT(A34, "00")&amp;VLOOKUP(ArcanaMaster[[#This Row],[名前]],選択用フィールド!$D$2:$E$23,2,FALSE)</f>
        <v>16Tower</v>
      </c>
    </row>
    <row r="35" spans="1:4" x14ac:dyDescent="0.45">
      <c r="A35">
        <v>16</v>
      </c>
      <c r="B35" t="s">
        <v>9</v>
      </c>
      <c r="C35" t="s">
        <v>27</v>
      </c>
      <c r="D35" t="str">
        <f>TEXT(A35, "00")&amp;VLOOKUP(ArcanaMaster[[#This Row],[名前]],選択用フィールド!$D$2:$E$23,2,FALSE)</f>
        <v>16Tower</v>
      </c>
    </row>
    <row r="36" spans="1:4" x14ac:dyDescent="0.45">
      <c r="A36">
        <v>17</v>
      </c>
      <c r="B36" t="s">
        <v>8</v>
      </c>
      <c r="C36" t="s">
        <v>26</v>
      </c>
      <c r="D36" t="str">
        <f>TEXT(A36, "00")&amp;VLOOKUP(ArcanaMaster[[#This Row],[名前]],選択用フィールド!$D$2:$E$23,2,FALSE)</f>
        <v>17Star</v>
      </c>
    </row>
    <row r="37" spans="1:4" x14ac:dyDescent="0.45">
      <c r="A37">
        <v>17</v>
      </c>
      <c r="B37" t="s">
        <v>9</v>
      </c>
      <c r="C37" t="s">
        <v>26</v>
      </c>
      <c r="D37" t="str">
        <f>TEXT(A37, "00")&amp;VLOOKUP(ArcanaMaster[[#This Row],[名前]],選択用フィールド!$D$2:$E$23,2,FALSE)</f>
        <v>17Star</v>
      </c>
    </row>
    <row r="38" spans="1:4" x14ac:dyDescent="0.45">
      <c r="A38">
        <v>18</v>
      </c>
      <c r="B38" t="s">
        <v>8</v>
      </c>
      <c r="C38" t="s">
        <v>28</v>
      </c>
      <c r="D38" t="str">
        <f>TEXT(A38, "00")&amp;VLOOKUP(ArcanaMaster[[#This Row],[名前]],選択用フィールド!$D$2:$E$23,2,FALSE)</f>
        <v>18Moon</v>
      </c>
    </row>
    <row r="39" spans="1:4" x14ac:dyDescent="0.45">
      <c r="A39">
        <v>18</v>
      </c>
      <c r="B39" t="s">
        <v>9</v>
      </c>
      <c r="C39" t="s">
        <v>28</v>
      </c>
      <c r="D39" t="str">
        <f>TEXT(A39, "00")&amp;VLOOKUP(ArcanaMaster[[#This Row],[名前]],選択用フィールド!$D$2:$E$23,2,FALSE)</f>
        <v>18Moon</v>
      </c>
    </row>
    <row r="40" spans="1:4" x14ac:dyDescent="0.45">
      <c r="A40">
        <v>19</v>
      </c>
      <c r="B40" t="s">
        <v>8</v>
      </c>
      <c r="C40" t="s">
        <v>29</v>
      </c>
      <c r="D40" t="str">
        <f>TEXT(A40, "00")&amp;VLOOKUP(ArcanaMaster[[#This Row],[名前]],選択用フィールド!$D$2:$E$23,2,FALSE)</f>
        <v>19Sun</v>
      </c>
    </row>
    <row r="41" spans="1:4" x14ac:dyDescent="0.45">
      <c r="A41">
        <v>19</v>
      </c>
      <c r="B41" t="s">
        <v>9</v>
      </c>
      <c r="C41" t="s">
        <v>29</v>
      </c>
      <c r="D41" t="str">
        <f>TEXT(A41, "00")&amp;VLOOKUP(ArcanaMaster[[#This Row],[名前]],選択用フィールド!$D$2:$E$23,2,FALSE)</f>
        <v>19Sun</v>
      </c>
    </row>
    <row r="42" spans="1:4" x14ac:dyDescent="0.45">
      <c r="A42">
        <v>20</v>
      </c>
      <c r="B42" t="s">
        <v>8</v>
      </c>
      <c r="C42" t="s">
        <v>30</v>
      </c>
      <c r="D42" t="str">
        <f>TEXT(A42, "00")&amp;VLOOKUP(ArcanaMaster[[#This Row],[名前]],選択用フィールド!$D$2:$E$23,2,FALSE)</f>
        <v>20Judgement</v>
      </c>
    </row>
    <row r="43" spans="1:4" x14ac:dyDescent="0.45">
      <c r="A43">
        <v>20</v>
      </c>
      <c r="B43" t="s">
        <v>9</v>
      </c>
      <c r="C43" t="s">
        <v>30</v>
      </c>
      <c r="D43" t="str">
        <f>TEXT(A43, "00")&amp;VLOOKUP(ArcanaMaster[[#This Row],[名前]],選択用フィールド!$D$2:$E$23,2,FALSE)</f>
        <v>20Judgement</v>
      </c>
    </row>
    <row r="44" spans="1:4" x14ac:dyDescent="0.45">
      <c r="A44">
        <v>21</v>
      </c>
      <c r="B44" t="s">
        <v>8</v>
      </c>
      <c r="C44" t="s">
        <v>31</v>
      </c>
      <c r="D44" t="str">
        <f>TEXT(A44, "00")&amp;VLOOKUP(ArcanaMaster[[#This Row],[名前]],選択用フィールド!$D$2:$E$23,2,FALSE)</f>
        <v>21World</v>
      </c>
    </row>
    <row r="45" spans="1:4" x14ac:dyDescent="0.45">
      <c r="A45">
        <v>21</v>
      </c>
      <c r="B45" t="s">
        <v>9</v>
      </c>
      <c r="C45" t="s">
        <v>31</v>
      </c>
      <c r="D45" t="str">
        <f>TEXT(A45, "00")&amp;VLOOKUP(ArcanaMaster[[#This Row],[名前]],選択用フィールド!$D$2:$E$23,2,FALSE)</f>
        <v>21World</v>
      </c>
    </row>
  </sheetData>
  <sheetProtection algorithmName="SHA-512" hashValue="kqFsht2GfRnDKTEeWdppLLXHDvtmokHk/KhrW2GTyirUIOrjkvzfmaC6A7hN+Af0l4obuEvLmqYhQznVp4BqFA==" saltValue="dwhLeq6Twhhtt52XYZnitg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K45"/>
  <sheetViews>
    <sheetView topLeftCell="D22" workbookViewId="0">
      <selection activeCell="K38" sqref="K38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  <col min="11" max="11" width="32.09765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  <c r="K1" t="s">
        <v>149</v>
      </c>
    </row>
    <row r="2" spans="1:11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  <c r="K2" s="1" t="str">
        <f>選択用フィールド!$G$8&amp;"/"&amp;ArcanaMaster[[#This Row],[画像]]</f>
        <v>Sprites/Arcana/00Fool</v>
      </c>
    </row>
    <row r="3" spans="1:11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  <c r="K3" s="1" t="str">
        <f>選択用フィールド!$G$8&amp;"/"&amp;ArcanaMaster[[#This Row],[画像]]</f>
        <v>Sprites/Arcana/00Fool</v>
      </c>
    </row>
    <row r="4" spans="1:11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  <c r="K4" s="1" t="str">
        <f>選択用フィールド!$G$8&amp;"/"&amp;ArcanaMaster[[#This Row],[画像]]</f>
        <v>Sprites/Arcana/01Magician</v>
      </c>
    </row>
    <row r="5" spans="1:11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  <c r="K5" s="1" t="str">
        <f>選択用フィールド!$G$8&amp;"/"&amp;ArcanaMaster[[#This Row],[画像]]</f>
        <v>Sprites/Arcana/01Magician</v>
      </c>
    </row>
    <row r="6" spans="1:11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  <c r="K6" s="1" t="str">
        <f>選択用フィールド!$G$8&amp;"/"&amp;ArcanaMaster[[#This Row],[画像]]</f>
        <v>Sprites/Arcana/02HighPriestess</v>
      </c>
    </row>
    <row r="7" spans="1:11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  <c r="K7" s="1" t="str">
        <f>選択用フィールド!$G$8&amp;"/"&amp;ArcanaMaster[[#This Row],[画像]]</f>
        <v>Sprites/Arcana/02HighPriestess</v>
      </c>
    </row>
    <row r="8" spans="1:11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  <c r="K8" s="1" t="str">
        <f>選択用フィールド!$G$8&amp;"/"&amp;ArcanaMaster[[#This Row],[画像]]</f>
        <v>Sprites/Arcana/03Empress</v>
      </c>
    </row>
    <row r="9" spans="1:11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  <c r="K9" s="1" t="str">
        <f>選択用フィールド!$G$8&amp;"/"&amp;ArcanaMaster[[#This Row],[画像]]</f>
        <v>Sprites/Arcana/03Empress</v>
      </c>
    </row>
    <row r="10" spans="1:11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  <c r="K10" s="1" t="str">
        <f>選択用フィールド!$G$8&amp;"/"&amp;ArcanaMaster[[#This Row],[画像]]</f>
        <v>Sprites/Arcana/04Emperor</v>
      </c>
    </row>
    <row r="11" spans="1:11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  <c r="K11" s="1" t="str">
        <f>選択用フィールド!$G$8&amp;"/"&amp;ArcanaMaster[[#This Row],[画像]]</f>
        <v>Sprites/Arcana/04Emperor</v>
      </c>
    </row>
    <row r="12" spans="1:11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  <c r="K12" s="1" t="str">
        <f>選択用フィールド!$G$8&amp;"/"&amp;ArcanaMaster[[#This Row],[画像]]</f>
        <v>Sprites/Arcana/05Hierophant</v>
      </c>
    </row>
    <row r="13" spans="1:11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  <c r="K13" s="1" t="str">
        <f>選択用フィールド!$G$8&amp;"/"&amp;ArcanaMaster[[#This Row],[画像]]</f>
        <v>Sprites/Arcana/05Hierophant</v>
      </c>
    </row>
    <row r="14" spans="1:11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  <c r="K14" s="1" t="str">
        <f>選択用フィールド!$G$8&amp;"/"&amp;ArcanaMaster[[#This Row],[画像]]</f>
        <v>Sprites/Arcana/06Lovers</v>
      </c>
    </row>
    <row r="15" spans="1:11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  <c r="K15" s="1" t="str">
        <f>選択用フィールド!$G$8&amp;"/"&amp;ArcanaMaster[[#This Row],[画像]]</f>
        <v>Sprites/Arcana/06Lovers</v>
      </c>
    </row>
    <row r="16" spans="1:11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  <c r="K16" s="1" t="str">
        <f>選択用フィールド!$G$8&amp;"/"&amp;ArcanaMaster[[#This Row],[画像]]</f>
        <v>Sprites/Arcana/07Chariot</v>
      </c>
    </row>
    <row r="17" spans="1:11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  <c r="K17" s="1" t="str">
        <f>選択用フィールド!$G$8&amp;"/"&amp;ArcanaMaster[[#This Row],[画像]]</f>
        <v>Sprites/Arcana/07Chariot</v>
      </c>
    </row>
    <row r="18" spans="1:11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  <c r="K18" s="1" t="str">
        <f>選択用フィールド!$G$8&amp;"/"&amp;ArcanaMaster[[#This Row],[画像]]</f>
        <v>Sprites/Arcana/08Strength</v>
      </c>
    </row>
    <row r="19" spans="1:11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  <c r="K19" s="1" t="str">
        <f>選択用フィールド!$G$8&amp;"/"&amp;ArcanaMaster[[#This Row],[画像]]</f>
        <v>Sprites/Arcana/08Strength</v>
      </c>
    </row>
    <row r="20" spans="1:11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  <c r="K20" s="1" t="str">
        <f>選択用フィールド!$G$8&amp;"/"&amp;ArcanaMaster[[#This Row],[画像]]</f>
        <v>Sprites/Arcana/09Hermit</v>
      </c>
    </row>
    <row r="21" spans="1:11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  <c r="K21" s="1" t="str">
        <f>選択用フィールド!$G$8&amp;"/"&amp;ArcanaMaster[[#This Row],[画像]]</f>
        <v>Sprites/Arcana/09Hermit</v>
      </c>
    </row>
    <row r="22" spans="1:11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  <c r="K22" s="1" t="str">
        <f>選択用フィールド!$G$8&amp;"/"&amp;ArcanaMaster[[#This Row],[画像]]</f>
        <v>Sprites/Arcana/10WheelOfFortune</v>
      </c>
    </row>
    <row r="23" spans="1:11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  <c r="K23" s="1" t="str">
        <f>選択用フィールド!$G$8&amp;"/"&amp;ArcanaMaster[[#This Row],[画像]]</f>
        <v>Sprites/Arcana/10WheelOfFortune</v>
      </c>
    </row>
    <row r="24" spans="1:11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  <c r="K24" s="1" t="str">
        <f>選択用フィールド!$G$8&amp;"/"&amp;ArcanaMaster[[#This Row],[画像]]</f>
        <v>Sprites/Arcana/11Justice</v>
      </c>
    </row>
    <row r="25" spans="1:11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15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  <c r="K25" s="1" t="str">
        <f>選択用フィールド!$G$8&amp;"/"&amp;ArcanaMaster[[#This Row],[画像]]</f>
        <v>Sprites/Arcana/11Justice</v>
      </c>
    </row>
    <row r="26" spans="1:11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  <c r="K26" s="1" t="str">
        <f>選択用フィールド!$G$8&amp;"/"&amp;ArcanaMaster[[#This Row],[画像]]</f>
        <v>Sprites/Arcana/12HangedMan</v>
      </c>
    </row>
    <row r="27" spans="1:11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  <c r="K27" s="1" t="str">
        <f>選択用フィールド!$G$8&amp;"/"&amp;ArcanaMaster[[#This Row],[画像]]</f>
        <v>Sprites/Arcana/12HangedMan</v>
      </c>
    </row>
    <row r="28" spans="1:11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  <c r="K28" s="1" t="str">
        <f>選択用フィールド!$G$8&amp;"/"&amp;ArcanaMaster[[#This Row],[画像]]</f>
        <v>Sprites/Arcana/13Death</v>
      </c>
    </row>
    <row r="29" spans="1:11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  <c r="K29" s="1" t="str">
        <f>選択用フィールド!$G$8&amp;"/"&amp;ArcanaMaster[[#This Row],[画像]]</f>
        <v>Sprites/Arcana/13Death</v>
      </c>
    </row>
    <row r="30" spans="1:11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  <c r="K30" s="1" t="str">
        <f>選択用フィールド!$G$8&amp;"/"&amp;ArcanaMaster[[#This Row],[画像]]</f>
        <v>Sprites/Arcana/14Temperance</v>
      </c>
    </row>
    <row r="31" spans="1:11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  <c r="K31" s="1" t="str">
        <f>選択用フィールド!$G$8&amp;"/"&amp;ArcanaMaster[[#This Row],[画像]]</f>
        <v>Sprites/Arcana/14Temperance</v>
      </c>
    </row>
    <row r="32" spans="1:11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  <c r="K32" s="1" t="str">
        <f>選択用フィールド!$G$8&amp;"/"&amp;ArcanaMaster[[#This Row],[画像]]</f>
        <v>Sprites/Arcana/15Devil</v>
      </c>
    </row>
    <row r="33" spans="1:11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  <c r="K33" s="1" t="str">
        <f>選択用フィールド!$G$8&amp;"/"&amp;ArcanaMaster[[#This Row],[画像]]</f>
        <v>Sprites/Arcana/15Devil</v>
      </c>
    </row>
    <row r="34" spans="1:11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  <c r="K34" s="1" t="str">
        <f>選択用フィールド!$G$8&amp;"/"&amp;ArcanaMaster[[#This Row],[画像]]</f>
        <v>Sprites/Arcana/16Tower</v>
      </c>
    </row>
    <row r="35" spans="1:11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  <c r="K35" s="1" t="str">
        <f>選択用フィールド!$G$8&amp;"/"&amp;ArcanaMaster[[#This Row],[画像]]</f>
        <v>Sprites/Arcana/16Tower</v>
      </c>
    </row>
    <row r="36" spans="1:11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  <c r="K36" s="1" t="str">
        <f>選択用フィールド!$G$8&amp;"/"&amp;ArcanaMaster[[#This Row],[画像]]</f>
        <v>Sprites/Arcana/17Star</v>
      </c>
    </row>
    <row r="37" spans="1:11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  <c r="K37" s="1" t="str">
        <f>選択用フィールド!$G$8&amp;"/"&amp;ArcanaMaster[[#This Row],[画像]]</f>
        <v>Sprites/Arcana/17Star</v>
      </c>
    </row>
    <row r="38" spans="1:11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Command</v>
      </c>
      <c r="E38">
        <f>InputData[[#This Row],[クールタイム]]</f>
        <v>5</v>
      </c>
      <c r="F38">
        <f>InputData[[#This Row],[効果数値]]</f>
        <v>5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  <c r="K38" s="1" t="str">
        <f>選択用フィールド!$G$8&amp;"/"&amp;ArcanaMaster[[#This Row],[画像]]</f>
        <v>Sprites/Arcana/18Moon</v>
      </c>
    </row>
    <row r="39" spans="1:11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  <c r="K39" s="1" t="str">
        <f>選択用フィールド!$G$8&amp;"/"&amp;ArcanaMaster[[#This Row],[画像]]</f>
        <v>Sprites/Arcana/18Moon</v>
      </c>
    </row>
    <row r="40" spans="1:11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  <c r="K40" s="1" t="str">
        <f>選択用フィールド!$G$8&amp;"/"&amp;ArcanaMaster[[#This Row],[画像]]</f>
        <v>Sprites/Arcana/19Sun</v>
      </c>
    </row>
    <row r="41" spans="1:11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  <c r="K41" s="1" t="str">
        <f>選択用フィールド!$G$8&amp;"/"&amp;ArcanaMaster[[#This Row],[画像]]</f>
        <v>Sprites/Arcana/19Sun</v>
      </c>
    </row>
    <row r="42" spans="1:11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  <c r="K42" s="1" t="str">
        <f>選択用フィールド!$G$8&amp;"/"&amp;ArcanaMaster[[#This Row],[画像]]</f>
        <v>Sprites/Arcana/20Judgement</v>
      </c>
    </row>
    <row r="43" spans="1:11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  <c r="K43" s="1" t="str">
        <f>選択用フィールド!$G$8&amp;"/"&amp;ArcanaMaster[[#This Row],[画像]]</f>
        <v>Sprites/Arcana/20Judgement</v>
      </c>
    </row>
    <row r="44" spans="1:11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  <c r="K44" s="1" t="str">
        <f>選択用フィールド!$G$8&amp;"/"&amp;ArcanaMaster[[#This Row],[画像]]</f>
        <v>Sprites/Arcana/21World</v>
      </c>
    </row>
    <row r="45" spans="1:11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  <c r="K45" s="1" t="str">
        <f>選択用フィールド!$G$8&amp;"/"&amp;ArcanaMaster[[#This Row],[画像]]</f>
        <v>Sprites/Arcana/21World</v>
      </c>
    </row>
  </sheetData>
  <sheetProtection algorithmName="SHA-512" hashValue="JsrtSVZYWtqsM+vamaxfnwW6KDjeS8ergY52B5KFDixxAV12yOMwOn788B5MD0Sk+4SDCfMYuevizTiAWnTLKw==" saltValue="oS2zEMxPdy3ezhGbJolCfw==" spinCount="100000" sheet="1" objects="1" scenarios="1"/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B15" sqref="B15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  <c r="G7" t="s">
        <v>148</v>
      </c>
    </row>
    <row r="8" spans="1:10" x14ac:dyDescent="0.45">
      <c r="D8" t="s">
        <v>42</v>
      </c>
      <c r="E8" t="s">
        <v>65</v>
      </c>
      <c r="G8" t="s">
        <v>150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sheetProtection algorithmName="SHA-512" hashValue="ryhF4kBA1BKUHN6LbZlBRteHtUgn49kD1H5CK0aTR961ZyZ07Rj4y9OBolArIZYra1E+Cy2bdg1LYF+iYoq1yg==" saltValue="PerIWNDmBJOSMcG9n1sgIg==" spinCount="100000" sheet="1" objects="1" scenarios="1"/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workbookViewId="0">
      <selection activeCell="G5" sqref="G5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15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33</v>
      </c>
      <c r="D38">
        <v>5</v>
      </c>
      <c r="E38">
        <v>5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2026-09-30T02:54:11Z</dcterms:modified>
</cp:coreProperties>
</file>