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714d3454c468b4/デスクトップ/Create/Git/Arcanumber2026/Assets/StreamingAssets/Excel/"/>
    </mc:Choice>
  </mc:AlternateContent>
  <xr:revisionPtr revIDLastSave="4" documentId="13_ncr:1_{7636A196-9586-41A3-A6B8-F6CA7197415F}" xr6:coauthVersionLast="47" xr6:coauthVersionMax="47" xr10:uidLastSave="{844DCA30-4A3B-413B-B6B3-6EE043824331}"/>
  <bookViews>
    <workbookView xWindow="-120" yWindow="-120" windowWidth="29040" windowHeight="15720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D2" i="1" l="1"/>
  <c r="D3" i="1"/>
  <c r="D4" i="1"/>
  <c r="D5" i="1"/>
  <c r="D6" i="1"/>
  <c r="K6" i="2" s="1"/>
  <c r="D7" i="1"/>
  <c r="K7" i="2" s="1"/>
  <c r="D8" i="1"/>
  <c r="K8" i="2" s="1"/>
  <c r="D9" i="1"/>
  <c r="K9" i="2" s="1"/>
  <c r="D10" i="1"/>
  <c r="K10" i="2" s="1"/>
  <c r="D11" i="1"/>
  <c r="K11" i="2" s="1"/>
  <c r="D12" i="1"/>
  <c r="K12" i="2" s="1"/>
  <c r="D13" i="1"/>
  <c r="K13" i="2" s="1"/>
  <c r="D14" i="1"/>
  <c r="D15" i="1"/>
  <c r="K15" i="2" s="1"/>
  <c r="D16" i="1"/>
  <c r="K16" i="2" s="1"/>
  <c r="D17" i="1"/>
  <c r="K17" i="2" s="1"/>
  <c r="D18" i="1"/>
  <c r="K18" i="2" s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K26" i="2" s="1"/>
  <c r="D27" i="1"/>
  <c r="D28" i="1"/>
  <c r="K28" i="2" s="1"/>
  <c r="D29" i="1"/>
  <c r="K29" i="2" s="1"/>
  <c r="D30" i="1"/>
  <c r="K30" i="2" s="1"/>
  <c r="D31" i="1"/>
  <c r="K31" i="2" s="1"/>
  <c r="D32" i="1"/>
  <c r="K32" i="2" s="1"/>
  <c r="D33" i="1"/>
  <c r="K33" i="2" s="1"/>
  <c r="D34" i="1"/>
  <c r="K34" i="2" s="1"/>
  <c r="D35" i="1"/>
  <c r="K35" i="2" s="1"/>
  <c r="D36" i="1"/>
  <c r="K36" i="2" s="1"/>
  <c r="D37" i="1"/>
  <c r="K37" i="2" s="1"/>
  <c r="D38" i="1"/>
  <c r="K38" i="2" s="1"/>
  <c r="D39" i="1"/>
  <c r="K39" i="2" s="1"/>
  <c r="D40" i="1"/>
  <c r="K40" i="2" s="1"/>
  <c r="D41" i="1"/>
  <c r="D42" i="1"/>
  <c r="D43" i="1"/>
  <c r="K43" i="2" s="1"/>
  <c r="D44" i="1"/>
  <c r="K44" i="2" s="1"/>
  <c r="D45" i="1"/>
  <c r="K45" i="2" s="1"/>
  <c r="K2" i="2"/>
  <c r="K23" i="2"/>
  <c r="K27" i="2"/>
  <c r="K5" i="2"/>
  <c r="K41" i="2"/>
  <c r="K42" i="2"/>
  <c r="K3" i="2"/>
  <c r="K4" i="2"/>
  <c r="K14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J16" i="2" s="1"/>
  <c r="C17" i="2"/>
  <c r="C18" i="2"/>
  <c r="C19" i="2"/>
  <c r="C20" i="2"/>
  <c r="C21" i="2"/>
  <c r="C22" i="2"/>
  <c r="C23" i="2"/>
  <c r="C24" i="2"/>
  <c r="C25" i="2"/>
  <c r="C26" i="2"/>
  <c r="J26" i="2" s="1"/>
  <c r="C27" i="2"/>
  <c r="J27" i="2" s="1"/>
  <c r="C28" i="2"/>
  <c r="C29" i="2"/>
  <c r="C30" i="2"/>
  <c r="C31" i="2"/>
  <c r="C32" i="2"/>
  <c r="C33" i="2"/>
  <c r="C34" i="2"/>
  <c r="C35" i="2"/>
  <c r="J35" i="2" s="1"/>
  <c r="J28" i="2" l="1"/>
  <c r="J15" i="2"/>
  <c r="J24" i="2"/>
  <c r="J4" i="2"/>
  <c r="J14" i="2"/>
  <c r="J10" i="2"/>
  <c r="J2" i="2"/>
  <c r="J25" i="2"/>
  <c r="J23" i="2"/>
  <c r="J22" i="2"/>
  <c r="J34" i="2"/>
  <c r="J13" i="2"/>
  <c r="J21" i="2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<sst xmlns="http://schemas.openxmlformats.org/spreadsheetml/2006/main" count="286" uniqueCount="167">
  <si>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</si>
  <si>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</si>
  <si>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</si>
  <si>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</si>
  <si>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</si>
  <si>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</si>
  <si>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</si>
  <si>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</si>
  <si>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</si>
  <si>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</si>
  <si>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</si>
  <si>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</si>
  <si>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</si>
  <si>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</si>
  <si>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</si>
  <si>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</si>
  <si>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</si>
  <si>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</si>
  <si>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</si>
  <si>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</si>
  <si>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</si>
  <si>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</si>
  <si>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</si>
  <si>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</si>
  <si>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</si>
  <si>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</si>
  <si>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</si>
  <si>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</si>
  <si>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</si>
  <si>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</si>
  <si>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</si>
  <si>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</si>
  <si>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</si>
  <si>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</si>
  <si>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</si>
  <si>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</si>
  <si>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</si>
  <si>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</si>
  <si>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</si>
  <si>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</si>
  <si>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</si>
  <si>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</si>
  <si>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</si>
  <si>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</si>
  <si>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</si>
  <si>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</si>
  <si>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</si>
  <si>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</si>
  <si>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</si>
  <si>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</si>
  <si>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</si>
  <si>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</si>
  <si>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</si>
  <si>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</si>
  <si>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</si>
  <si>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</si>
  <si>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</si>
  <si>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</si>
  <si>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</si>
  <si>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</si>
  <si>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</si>
  <si>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</si>
  <si>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</si>
  <si>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</si>
  <si>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</si>
  <si>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</si>
  <si>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</si>
  <si>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</si>
  <si>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</si>
  <si>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</si>
  <si>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</si>
  <si>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</si>
  <si>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</si>
  <si>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</si>
  <si>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</si>
  <si>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</si>
  <si>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</si>
  <si>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</si>
  <si>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</si>
  <si>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</si>
  <si>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</si>
  <si>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</si>
  <si>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</si>
  <si>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</si>
  <si>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</si>
  <si>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</si>
  <si>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</si>
  <si>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</si>
  <si>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</si>
  <si>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</si>
  <si>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</si>
  <si>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</si>
  <si>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</si>
  <si>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</si>
  <si>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</si>
  <si>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</si>
  <si>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</si>
  <si>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</si>
  <si>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</si>
  <si>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</si>
  <si>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</si>
  <si>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</si>
  <si>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</si>
  <si>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</si>
  <si>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</si>
  <si>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</si>
  <si>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</si>
  <si>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</si>
  <si>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</si>
  <si>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</si>
  <si>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</si>
  <si>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</si>
  <si>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</si>
  <si>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</si>
  <si>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</si>
  <si>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</si>
  <si>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</si>
  <si>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</si>
  <si>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</si>
  <si>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</si>
  <si>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</si>
  <si>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</si>
  <si>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</si>
  <si>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</si>
  <si>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</si>
  <si>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</si>
  <si>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</si>
  <si>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</si>
  <si>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</si>
  <si>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</si>
  <si>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</si>
  <si>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</si>
  <si>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</si>
  <si>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</si>
  <si>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</si>
  <si>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</si>
  <si>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</si>
  <si>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</si>
  <si>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</si>
  <si>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</si>
  <si>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</si>
  <si>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</si>
  <si>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</si>
  <si>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</si>
  <si>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</si>
  <si>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</si>
  <si>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</si>
  <si>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</si>
  <si>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</si>
  <si>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</si>
  <si>
    <t>Summon</t>
    <phoneticPr fontId="1"/>
  </si>
  <si>
    <t>FlipHorizontally</t>
    <phoneticPr fontId="1"/>
  </si>
  <si>
    <t>Charm</t>
    <phoneticPr fontId="1"/>
  </si>
  <si>
    <t>Blackout</t>
    <phoneticPr fontId="1"/>
  </si>
  <si>
    <t>EquivalentExchange</t>
    <phoneticPr fontId="1"/>
  </si>
  <si>
    <t>Steel</t>
    <phoneticPr fontId="1"/>
  </si>
  <si>
    <t>Trap</t>
    <phoneticPr fontId="1"/>
  </si>
  <si>
    <t>Teleport</t>
    <phoneticPr fontId="1"/>
  </si>
  <si>
    <t>AllAtack</t>
    <phoneticPr fontId="1"/>
  </si>
  <si>
    <t>Counter</t>
    <phoneticPr fontId="1"/>
  </si>
  <si>
    <t>FlipCamera</t>
    <phoneticPr fontId="1"/>
  </si>
  <si>
    <t>Correct</t>
    <phoneticPr fontId="1"/>
  </si>
  <si>
    <t>Dimension</t>
    <phoneticPr fontId="1"/>
  </si>
  <si>
    <t>向いた方向にブリンクをするカード</t>
    <rPh sb="0" eb="1">
      <t>ム</t>
    </rPh>
    <rPh sb="3" eb="5">
      <t>ホウコウ</t>
    </rPh>
    <phoneticPr fontId="1"/>
  </si>
  <si>
    <t>LoversAura</t>
  </si>
  <si>
    <t>防御力を上げるカード</t>
    <rPh sb="0" eb="3">
      <t>ボウギョリョク</t>
    </rPh>
    <rPh sb="4" eb="5">
      <t>ア</t>
    </rPh>
    <phoneticPr fontId="1"/>
  </si>
  <si>
    <t>Barria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</si>
</sst>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9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8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7">
      <calculatedColumnFormula>VLOOKUP(InputData[[#This Row],[発動条件]],選択用フィールド!$A$2:$B$6,2,FALSE)</calculatedColumnFormula>
    </tableColumn>
    <tableColumn id="5" xr3:uid="{32000BF7-9753-45FD-B2D6-344E111A7D1C}" name="クールタイム" dataDxfId="6">
      <calculatedColumnFormula>InputData[[#This Row],[クールタイム]]</calculatedColumnFormula>
    </tableColumn>
    <tableColumn id="10" xr3:uid="{62D4CF48-CF16-4BA3-A2CA-142A0A4DAAA4}" name="効果時間" dataDxfId="5">
      <calculatedColumnFormula>InputData[[#This Row],[効果数値]]</calculatedColumnFormula>
    </tableColumn>
    <tableColumn id="6" xr3:uid="{55BA9E8F-6644-465A-AB88-421F37320DF0}" name="エフェクト" dataDxfId="4">
      <calculatedColumnFormula>選択用フィールド!$G$2&amp;"/"&amp;InputData[[#This Row],[エフェクト]]</calculatedColumnFormula>
    </tableColumn>
    <tableColumn id="7" xr3:uid="{6B3E9D4E-9BFE-45EB-B383-B8876BCA5578}" name="効果音" dataDxfId="3">
      <calculatedColumnFormula>選択用フィールド!$G$5&amp;"/"&amp;InputData[[#This Row],[効果音]]</calculatedColumnFormula>
    </tableColumn>
    <tableColumn id="8" xr3:uid="{DCFB5C57-5B5E-4F36-8AA3-07C99FB1DC34}" name="説明" totalsRowFunction="count" dataDxfId="2">
      <calculatedColumnFormula>InputData[[#This Row],[説明]]</calculatedColumnFormula>
    </tableColumn>
    <tableColumn id="9" xr3:uid="{8A63BDCB-9472-4EC5-B67D-57234FDEFD85}" name="Key" dataDxfId="1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0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1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.75" x14ac:dyDescent="0.4"/>
  <cols>
    <col min="3" max="3" width="12.375" bestFit="1" customWidth="1"/>
    <col min="4" max="4" width="23.875" customWidth="1"/>
    <col min="5" max="5" width="9.5" customWidth="1"/>
  </cols>
  <sheetData>
    <row r="1" spans="1:4" x14ac:dyDescent="0.4">
      <c r="A1" t="s">
        <v>0</v>
      </c>
      <c r="B1" t="s">
        <v>1</v>
      </c>
      <c r="C1" t="s">
        <v>2</v>
      </c>
      <c r="D1" t="s">
        <v>32</v>
      </c>
    </row>
    <row r="2" spans="1:4" x14ac:dyDescent="0.4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4" workbookViewId="0">
      <selection activeCell="H6" sqref="H6"/>
    </sheetView>
  </sheetViews>
  <sheetFormatPr defaultRowHeight="18.75" x14ac:dyDescent="0.4"/>
  <cols>
    <col min="2" max="2" width="7" bestFit="1" customWidth="1"/>
    <col min="3" max="3" width="12.375" bestFit="1" customWidth="1"/>
    <col min="4" max="4" width="13" bestFit="1" customWidth="1"/>
    <col min="5" max="6" width="13.25" customWidth="1"/>
    <col min="7" max="7" width="20.75" bestFit="1" customWidth="1"/>
    <col min="8" max="8" width="18.25" customWidth="1"/>
    <col min="9" max="9" width="51.375" bestFit="1" customWidth="1"/>
    <col min="10" max="10" width="28.625" bestFit="1" customWidth="1"/>
    <col min="11" max="11" width="32.125" bestFit="1" customWidth="1"/>
  </cols>
  <sheetData>
    <row r="1" spans="1:11" x14ac:dyDescent="0.4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140</v>
      </c>
      <c r="G1" t="s">
        <v>6</v>
      </c>
      <c r="H1" t="s">
        <v>7</v>
      </c>
      <c r="I1" t="s">
        <v>3</v>
      </c>
      <c r="J1" t="s">
        <v>80</v>
      </c>
      <c r="K1" t="s">
        <v>148</v>
      </c>
    </row>
    <row r="2" spans="1:11" x14ac:dyDescent="0.4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 t="str">
        <f>選択用フィールド!$G$5&amp;"/"&amp;InputData[[#This Row],[効果音]]</f>
        <v>Audio/SE/</v>
      </c>
      <c r="I2" t="str">
        <f>InputData[[#This Row],[説明]]</f>
        <v>HPを上げるカード</v>
      </c>
      <c r="J2" t="str">
        <f>"Arcana"&amp;TEXT(A2, "00")&amp;VLOOKUP(ArcanaData[[#This Row],[名前]],選択用フィールド!$D$2:$E$23,2,FALSE)&amp;ArcanaMaster[[#This Row],[位置]]</f>
        <v>Arcana00FoolFront</v>
      </c>
      <c r="K2" t="str">
        <f>選択用フィールド!$G$8&amp;"/"&amp;ArcanaMaster[[#This Row],[画像]]</f>
        <v>Sprites/Arcana/00Fool</v>
      </c>
    </row>
    <row r="3" spans="1:11" x14ac:dyDescent="0.4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 t="str">
        <f>選択用フィールド!$G$5&amp;"/"&amp;InputData[[#This Row],[効果音]]</f>
        <v>Audio/SE/</v>
      </c>
      <c r="I3" t="str">
        <f>InputData[[#This Row],[説明]]</f>
        <v>何も持たなくても勝てることが証明できるカード</v>
      </c>
      <c r="J3" t="str">
        <f>"Arcana"&amp;TEXT(A3, "00")&amp;VLOOKUP(ArcanaData[[#This Row],[名前]],選択用フィールド!$D$2:$E$23,2,FALSE)&amp;ArcanaMaster[[#This Row],[位置]]</f>
        <v>Arcana00FoolBack</v>
      </c>
      <c r="K3" t="str">
        <f>選択用フィールド!$G$8&amp;"/"&amp;ArcanaMaster[[#This Row],[画像]]</f>
        <v>Sprites/Arcana/00Fool</v>
      </c>
    </row>
    <row r="4" spans="1:11" x14ac:dyDescent="0.4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 t="str">
        <f>選択用フィールド!$G$5&amp;"/"&amp;InputData[[#This Row],[効果音]]</f>
        <v>Audio/SE/</v>
      </c>
      <c r="I4" t="str">
        <f>InputData[[#This Row],[説明]]</f>
        <v>防御無視を付与できるカード</v>
      </c>
      <c r="J4" t="str">
        <f>"Arcana"&amp;TEXT(A4, "00")&amp;VLOOKUP(ArcanaData[[#This Row],[名前]],選択用フィールド!$D$2:$E$23,2,FALSE)&amp;ArcanaMaster[[#This Row],[位置]]</f>
        <v>Arcana01MagicianFront</v>
      </c>
      <c r="K4" t="str">
        <f>選択用フィールド!$G$8&amp;"/"&amp;ArcanaMaster[[#This Row],[画像]]</f>
        <v>Sprites/Arcana/01Magician</v>
      </c>
    </row>
    <row r="5" spans="1:11" x14ac:dyDescent="0.4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 t="str">
        <f>選択用フィールド!$G$5&amp;"/"&amp;InputData[[#This Row],[効果音]]</f>
        <v>Audio/SE/Summon</v>
      </c>
      <c r="I5" t="str">
        <f>InputData[[#This Row],[説明]]</f>
        <v>召喚物を出せるカード</v>
      </c>
      <c r="J5" t="str">
        <f>"Arcana"&amp;TEXT(A5, "00")&amp;VLOOKUP(ArcanaData[[#This Row],[名前]],選択用フィールド!$D$2:$E$23,2,FALSE)&amp;ArcanaMaster[[#This Row],[位置]]</f>
        <v>Arcana01MagicianBack</v>
      </c>
      <c r="K5" t="str">
        <f>選択用フィールド!$G$8&amp;"/"&amp;ArcanaMaster[[#This Row],[画像]]</f>
        <v>Sprites/Arcana/01Magician</v>
      </c>
    </row>
    <row r="6" spans="1:11" x14ac:dyDescent="0.4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 t="str">
        <f>選択用フィールド!$G$5&amp;"/"&amp;InputData[[#This Row],[効果音]]</f>
        <v>Audio/SE/</v>
      </c>
      <c r="I6" t="str">
        <f>InputData[[#This Row],[説明]]</f>
        <v>時間がたつほど強くなるカード</v>
      </c>
      <c r="J6" t="str">
        <f>"Arcana"&amp;TEXT(A6, "00")&amp;VLOOKUP(ArcanaData[[#This Row],[名前]],選択用フィールド!$D$2:$E$23,2,FALSE)&amp;ArcanaMaster[[#This Row],[位置]]</f>
        <v>Arcana02HighPriestessFront</v>
      </c>
      <c r="K6" t="str">
        <f>選択用フィールド!$G$8&amp;"/"&amp;ArcanaMaster[[#This Row],[画像]]</f>
        <v>Sprites/Arcana/02HighPriestess</v>
      </c>
    </row>
    <row r="7" spans="1:11" x14ac:dyDescent="0.4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 t="str">
        <f>選択用フィールド!$G$5&amp;"/"&amp;InputData[[#This Row],[効果音]]</f>
        <v>Audio/SE/</v>
      </c>
      <c r="I7" t="str">
        <f>InputData[[#This Row],[説明]]</f>
        <v>時間がたつほど弱くなるカード</v>
      </c>
      <c r="J7" t="str">
        <f>"Arcana"&amp;TEXT(A7, "00")&amp;VLOOKUP(ArcanaData[[#This Row],[名前]],選択用フィールド!$D$2:$E$23,2,FALSE)&amp;ArcanaMaster[[#This Row],[位置]]</f>
        <v>Arcana02HighPriestessBack</v>
      </c>
      <c r="K7" t="str">
        <f>選択用フィールド!$G$8&amp;"/"&amp;ArcanaMaster[[#This Row],[画像]]</f>
        <v>Sprites/Arcana/02HighPriestess</v>
      </c>
    </row>
    <row r="8" spans="1:11" x14ac:dyDescent="0.4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 t="str">
        <f>選択用フィールド!$G$5&amp;"/"&amp;InputData[[#This Row],[効果音]]</f>
        <v>Audio/SE/</v>
      </c>
      <c r="I8" t="str">
        <f>InputData[[#This Row],[説明]]</f>
        <v>自然治癒を付与するカード</v>
      </c>
      <c r="J8" t="str">
        <f>"Arcana"&amp;TEXT(A8, "00")&amp;VLOOKUP(ArcanaData[[#This Row],[名前]],選択用フィールド!$D$2:$E$23,2,FALSE)&amp;ArcanaMaster[[#This Row],[位置]]</f>
        <v>Arcana03EmpressFront</v>
      </c>
      <c r="K8" t="str">
        <f>選択用フィールド!$G$8&amp;"/"&amp;ArcanaMaster[[#This Row],[画像]]</f>
        <v>Sprites/Arcana/03Empress</v>
      </c>
    </row>
    <row r="9" spans="1:11" x14ac:dyDescent="0.4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 t="str">
        <f>選択用フィールド!$G$5&amp;"/"&amp;InputData[[#This Row],[効果音]]</f>
        <v>Audio/SE/</v>
      </c>
      <c r="I9" t="str">
        <f>InputData[[#This Row],[説明]]</f>
        <v>ランダムでバフやデバフがつくカード</v>
      </c>
      <c r="J9" t="str">
        <f>"Arcana"&amp;TEXT(A9, "00")&amp;VLOOKUP(ArcanaData[[#This Row],[名前]],選択用フィールド!$D$2:$E$23,2,FALSE)&amp;ArcanaMaster[[#This Row],[位置]]</f>
        <v>Arcana03EmpressBack</v>
      </c>
      <c r="K9" t="str">
        <f>選択用フィールド!$G$8&amp;"/"&amp;ArcanaMaster[[#This Row],[画像]]</f>
        <v>Sprites/Arcana/03Empress</v>
      </c>
    </row>
    <row r="10" spans="1:11" x14ac:dyDescent="0.4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 t="str">
        <f>選択用フィールド!$G$5&amp;"/"&amp;InputData[[#This Row],[効果音]]</f>
        <v>Audio/SE/</v>
      </c>
      <c r="I10" t="str">
        <f>InputData[[#This Row],[説明]]</f>
        <v>スキル禁止を付与するカード</v>
      </c>
      <c r="J10" t="str">
        <f>"Arcana"&amp;TEXT(A10, "00")&amp;VLOOKUP(ArcanaData[[#This Row],[名前]],選択用フィールド!$D$2:$E$23,2,FALSE)&amp;ArcanaMaster[[#This Row],[位置]]</f>
        <v>Arcana04EmperorFront</v>
      </c>
      <c r="K10" t="str">
        <f>選択用フィールド!$G$8&amp;"/"&amp;ArcanaMaster[[#This Row],[画像]]</f>
        <v>Sprites/Arcana/04Emperor</v>
      </c>
    </row>
    <row r="11" spans="1:11" x14ac:dyDescent="0.4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 t="str">
        <f>選択用フィールド!$G$5&amp;"/"&amp;InputData[[#This Row],[効果音]]</f>
        <v>Audio/SE/</v>
      </c>
      <c r="I11" t="str">
        <f>InputData[[#This Row],[説明]]</f>
        <v>通常攻撃は振れないがダメージが上がるカード</v>
      </c>
      <c r="J11" t="str">
        <f>"Arcana"&amp;TEXT(A11, "00")&amp;VLOOKUP(ArcanaData[[#This Row],[名前]],選択用フィールド!$D$2:$E$23,2,FALSE)&amp;ArcanaMaster[[#This Row],[位置]]</f>
        <v>Arcana04EmperorBack</v>
      </c>
      <c r="K11" t="str">
        <f>選択用フィールド!$G$8&amp;"/"&amp;ArcanaMaster[[#This Row],[画像]]</f>
        <v>Sprites/Arcana/04Emperor</v>
      </c>
    </row>
    <row r="12" spans="1:11" x14ac:dyDescent="0.4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 t="str">
        <f>選択用フィールド!$G$5&amp;"/"&amp;InputData[[#This Row],[効果音]]</f>
        <v>Audio/SE/</v>
      </c>
      <c r="I12" t="str">
        <f>InputData[[#This Row],[説明]]</f>
        <v>スキルの当たり判定が大きくなるカード</v>
      </c>
      <c r="J12" t="str">
        <f>"Arcana"&amp;TEXT(A12, "00")&amp;VLOOKUP(ArcanaData[[#This Row],[名前]],選択用フィールド!$D$2:$E$23,2,FALSE)&amp;ArcanaMaster[[#This Row],[位置]]</f>
        <v>Arcana05HierophantFront</v>
      </c>
      <c r="K12" t="str">
        <f>選択用フィールド!$G$8&amp;"/"&amp;ArcanaMaster[[#This Row],[画像]]</f>
        <v>Sprites/Arcana/05Hierophant</v>
      </c>
    </row>
    <row r="13" spans="1:11" x14ac:dyDescent="0.4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 t="str">
        <f>選択用フィールド!$G$5&amp;"/"&amp;InputData[[#This Row],[効果音]]</f>
        <v>Audio/SE/FlipHorizontally</v>
      </c>
      <c r="I13" t="str">
        <f>InputData[[#This Row],[説明]]</f>
        <v>敵の行動を逆にするカード</v>
      </c>
      <c r="J13" t="str">
        <f>"Arcana"&amp;TEXT(A13, "00")&amp;VLOOKUP(ArcanaData[[#This Row],[名前]],選択用フィールド!$D$2:$E$23,2,FALSE)&amp;ArcanaMaster[[#This Row],[位置]]</f>
        <v>Arcana05HierophantBack</v>
      </c>
      <c r="K13" t="str">
        <f>選択用フィールド!$G$8&amp;"/"&amp;ArcanaMaster[[#This Row],[画像]]</f>
        <v>Sprites/Arcana/05Hierophant</v>
      </c>
    </row>
    <row r="14" spans="1:11" x14ac:dyDescent="0.4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Effect/Arcana/LoversAura</v>
      </c>
      <c r="H14" t="str">
        <f>選択用フィールド!$G$5&amp;"/"&amp;InputData[[#This Row],[効果音]]</f>
        <v>Audio/SE/Charm</v>
      </c>
      <c r="I14" t="str">
        <f>InputData[[#This Row],[説明]]</f>
        <v>敵がダメージを肩代わりしてくれるカード</v>
      </c>
      <c r="J14" t="str">
        <f>"Arcana"&amp;TEXT(A14, "00")&amp;VLOOKUP(ArcanaData[[#This Row],[名前]],選択用フィールド!$D$2:$E$23,2,FALSE)&amp;ArcanaMaster[[#This Row],[位置]]</f>
        <v>Arcana06LoversFront</v>
      </c>
      <c r="K14" t="str">
        <f>選択用フィールド!$G$8&amp;"/"&amp;ArcanaMaster[[#This Row],[画像]]</f>
        <v>Sprites/Arcana/06Lovers</v>
      </c>
    </row>
    <row r="15" spans="1:11" x14ac:dyDescent="0.4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 t="str">
        <f>選択用フィールド!$G$5&amp;"/"&amp;InputData[[#This Row],[効果音]]</f>
        <v>Audio/SE/Blackout</v>
      </c>
      <c r="I15" t="str">
        <f>InputData[[#This Row],[説明]]</f>
        <v>自分以外の視界を暗くするカード</v>
      </c>
      <c r="J15" t="str">
        <f>"Arcana"&amp;TEXT(A15, "00")&amp;VLOOKUP(ArcanaData[[#This Row],[名前]],選択用フィールド!$D$2:$E$23,2,FALSE)&amp;ArcanaMaster[[#This Row],[位置]]</f>
        <v>Arcana06LoversBack</v>
      </c>
      <c r="K15" t="str">
        <f>選択用フィールド!$G$8&amp;"/"&amp;ArcanaMaster[[#This Row],[画像]]</f>
        <v>Sprites/Arcana/06Lovers</v>
      </c>
    </row>
    <row r="16" spans="1:11" x14ac:dyDescent="0.4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 t="str">
        <f>選択用フィールド!$G$5&amp;"/"&amp;InputData[[#This Row],[効果音]]</f>
        <v>Audio/SE/</v>
      </c>
      <c r="I16" t="str">
        <f>InputData[[#This Row],[説明]]</f>
        <v>移動速度が速くなるカード</v>
      </c>
      <c r="J16" t="str">
        <f>"Arcana"&amp;TEXT(A16, "00")&amp;VLOOKUP(ArcanaData[[#This Row],[名前]],選択用フィールド!$D$2:$E$23,2,FALSE)&amp;ArcanaMaster[[#This Row],[位置]]</f>
        <v>Arcana07ChariotFront</v>
      </c>
      <c r="K16" t="str">
        <f>選択用フィールド!$G$8&amp;"/"&amp;ArcanaMaster[[#This Row],[画像]]</f>
        <v>Sprites/Arcana/07Chariot</v>
      </c>
    </row>
    <row r="17" spans="1:11" x14ac:dyDescent="0.4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 t="str">
        <f>選択用フィールド!$G$5&amp;"/"&amp;InputData[[#This Row],[効果音]]</f>
        <v>Audio/SE/</v>
      </c>
      <c r="I17" t="str">
        <f>InputData[[#This Row],[説明]]</f>
        <v>スキル発動の予備動作の時間が半分になるカード</v>
      </c>
      <c r="J17" t="str">
        <f>"Arcana"&amp;TEXT(A17, "00")&amp;VLOOKUP(ArcanaData[[#This Row],[名前]],選択用フィールド!$D$2:$E$23,2,FALSE)&amp;ArcanaMaster[[#This Row],[位置]]</f>
        <v>Arcana07ChariotBack</v>
      </c>
      <c r="K17" t="str">
        <f>選択用フィールド!$G$8&amp;"/"&amp;ArcanaMaster[[#This Row],[画像]]</f>
        <v>Sprites/Arcana/07Chariot</v>
      </c>
    </row>
    <row r="18" spans="1:11" x14ac:dyDescent="0.4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 t="str">
        <f>選択用フィールド!$G$5&amp;"/"&amp;InputData[[#This Row],[効果音]]</f>
        <v>Audio/SE/</v>
      </c>
      <c r="I18" t="str">
        <f>InputData[[#This Row],[説明]]</f>
        <v>攻撃力を上げるカード</v>
      </c>
      <c r="J18" t="str">
        <f>"Arcana"&amp;TEXT(A18, "00")&amp;VLOOKUP(ArcanaData[[#This Row],[名前]],選択用フィールド!$D$2:$E$23,2,FALSE)&amp;ArcanaMaster[[#This Row],[位置]]</f>
        <v>Arcana08StrengthFront</v>
      </c>
      <c r="K18" t="str">
        <f>選択用フィールド!$G$8&amp;"/"&amp;ArcanaMaster[[#This Row],[画像]]</f>
        <v>Sprites/Arcana/08Strength</v>
      </c>
    </row>
    <row r="19" spans="1:11" x14ac:dyDescent="0.4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 t="str">
        <f>選択用フィールド!$G$5&amp;"/"&amp;InputData[[#This Row],[効果音]]</f>
        <v>Audio/SE/EquivalentExchange</v>
      </c>
      <c r="I19" t="str">
        <f>InputData[[#This Row],[説明]]</f>
        <v>HPが減るたび他のステータスが上がるカード</v>
      </c>
      <c r="J19" t="str">
        <f>"Arcana"&amp;TEXT(A19, "00")&amp;VLOOKUP(ArcanaData[[#This Row],[名前]],選択用フィールド!$D$2:$E$23,2,FALSE)&amp;ArcanaMaster[[#This Row],[位置]]</f>
        <v>Arcana08StrengthBack</v>
      </c>
      <c r="K19" t="str">
        <f>選択用フィールド!$G$8&amp;"/"&amp;ArcanaMaster[[#This Row],[画像]]</f>
        <v>Sprites/Arcana/08Strength</v>
      </c>
    </row>
    <row r="20" spans="1:11" x14ac:dyDescent="0.4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 t="str">
        <f>選択用フィールド!$G$5&amp;"/"&amp;InputData[[#This Row],[効果音]]</f>
        <v>Audio/SE/Steel</v>
      </c>
      <c r="I20" t="str">
        <f>InputData[[#This Row],[説明]]</f>
        <v>人が回復したHPを半分奪うカード</v>
      </c>
      <c r="J20" t="str">
        <f>"Arcana"&amp;TEXT(A20, "00")&amp;VLOOKUP(ArcanaData[[#This Row],[名前]],選択用フィールド!$D$2:$E$23,2,FALSE)&amp;ArcanaMaster[[#This Row],[位置]]</f>
        <v>Arcana09HermitFront</v>
      </c>
      <c r="K20" t="str">
        <f>選択用フィールド!$G$8&amp;"/"&amp;ArcanaMaster[[#This Row],[画像]]</f>
        <v>Sprites/Arcana/09Hermit</v>
      </c>
    </row>
    <row r="21" spans="1:11" x14ac:dyDescent="0.4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 t="str">
        <f>選択用フィールド!$G$5&amp;"/"&amp;InputData[[#This Row],[効果音]]</f>
        <v>Audio/SE/Trap</v>
      </c>
      <c r="I21" t="str">
        <f>InputData[[#This Row],[説明]]</f>
        <v>トラップを設置するカード</v>
      </c>
      <c r="J21" t="str">
        <f>"Arcana"&amp;TEXT(A21, "00")&amp;VLOOKUP(ArcanaData[[#This Row],[名前]],選択用フィールド!$D$2:$E$23,2,FALSE)&amp;ArcanaMaster[[#This Row],[位置]]</f>
        <v>Arcana09HermitBack</v>
      </c>
      <c r="K21" t="str">
        <f>選択用フィールド!$G$8&amp;"/"&amp;ArcanaMaster[[#This Row],[画像]]</f>
        <v>Sprites/Arcana/09Hermit</v>
      </c>
    </row>
    <row r="22" spans="1:11" x14ac:dyDescent="0.4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 t="str">
        <f>選択用フィールド!$G$5&amp;"/"&amp;InputData[[#This Row],[効果音]]</f>
        <v>Audio/SE/Teleport</v>
      </c>
      <c r="I22" t="str">
        <f>InputData[[#This Row],[説明]]</f>
        <v>ランダムな場所にテレポートするカード</v>
      </c>
      <c r="J22" t="str">
        <f>"Arcana"&amp;TEXT(A22, "00")&amp;VLOOKUP(ArcanaData[[#This Row],[名前]],選択用フィールド!$D$2:$E$23,2,FALSE)&amp;ArcanaMaster[[#This Row],[位置]]</f>
        <v>Arcana10WheelOfFortuneFront</v>
      </c>
      <c r="K22" t="str">
        <f>選択用フィールド!$G$8&amp;"/"&amp;ArcanaMaster[[#This Row],[画像]]</f>
        <v>Sprites/Arcana/10WheelOfFortune</v>
      </c>
    </row>
    <row r="23" spans="1:11" x14ac:dyDescent="0.4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 t="str">
        <f>選択用フィールド!$G$5&amp;"/"&amp;InputData[[#This Row],[効果音]]</f>
        <v>Audio/SE/</v>
      </c>
      <c r="I23" t="str">
        <f>InputData[[#This Row],[説明]]</f>
        <v>敵をジャンプ禁止にするカード</v>
      </c>
      <c r="J23" t="str">
        <f>"Arcana"&amp;TEXT(A23, "00")&amp;VLOOKUP(ArcanaData[[#This Row],[名前]],選択用フィールド!$D$2:$E$23,2,FALSE)&amp;ArcanaMaster[[#This Row],[位置]]</f>
        <v>Arcana10WheelOfFortuneBack</v>
      </c>
      <c r="K23" t="str">
        <f>選択用フィールド!$G$8&amp;"/"&amp;ArcanaMaster[[#This Row],[画像]]</f>
        <v>Sprites/Arcana/10WheelOfFortune</v>
      </c>
    </row>
    <row r="24" spans="1:11" x14ac:dyDescent="0.4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 t="str">
        <f>選択用フィールド!$G$5&amp;"/"&amp;InputData[[#This Row],[効果音]]</f>
        <v>Audio/SE/AllAtack</v>
      </c>
      <c r="I24" t="str">
        <f>InputData[[#This Row],[説明]]</f>
        <v>敵に一定のダメージを与えるカード</v>
      </c>
      <c r="J24" t="str">
        <f>"Arcana"&amp;TEXT(A24, "00")&amp;VLOOKUP(ArcanaData[[#This Row],[名前]],選択用フィールド!$D$2:$E$23,2,FALSE)&amp;ArcanaMaster[[#This Row],[位置]]</f>
        <v>Arcana11JusticeFront</v>
      </c>
      <c r="K24" t="str">
        <f>選択用フィールド!$G$8&amp;"/"&amp;ArcanaMaster[[#This Row],[画像]]</f>
        <v>Sprites/Arcana/11Justice</v>
      </c>
    </row>
    <row r="25" spans="1:11" x14ac:dyDescent="0.4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Effect/Arcana/Barria</v>
      </c>
      <c r="H25" t="str">
        <f>選択用フィールド!$G$5&amp;"/"&amp;InputData[[#This Row],[効果音]]</f>
        <v>Audio/SE/Counter</v>
      </c>
      <c r="I25" t="str">
        <f>InputData[[#This Row],[説明]]</f>
        <v>カウンターを付与するカード</v>
      </c>
      <c r="J25" t="str">
        <f>"Arcana"&amp;TEXT(A25, "00")&amp;VLOOKUP(ArcanaData[[#This Row],[名前]],選択用フィールド!$D$2:$E$23,2,FALSE)&amp;ArcanaMaster[[#This Row],[位置]]</f>
        <v>Arcana11JusticeBack</v>
      </c>
      <c r="K25" t="str">
        <f>選択用フィールド!$G$8&amp;"/"&amp;ArcanaMaster[[#This Row],[画像]]</f>
        <v>Sprites/Arcana/11Justice</v>
      </c>
    </row>
    <row r="26" spans="1:11" x14ac:dyDescent="0.4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 t="str">
        <f>選択用フィールド!$G$5&amp;"/"&amp;InputData[[#This Row],[効果音]]</f>
        <v>Audio/SE/FlipCamera</v>
      </c>
      <c r="I26" t="str">
        <f>InputData[[#This Row],[説明]]</f>
        <v>視点が反対になるカード</v>
      </c>
      <c r="J26" t="str">
        <f>"Arcana"&amp;TEXT(A26, "00")&amp;VLOOKUP(ArcanaData[[#This Row],[名前]],選択用フィールド!$D$2:$E$23,2,FALSE)&amp;ArcanaMaster[[#This Row],[位置]]</f>
        <v>Arcana12HangedManFront</v>
      </c>
      <c r="K26" t="str">
        <f>選択用フィールド!$G$8&amp;"/"&amp;ArcanaMaster[[#This Row],[画像]]</f>
        <v>Sprites/Arcana/12HangedMan</v>
      </c>
    </row>
    <row r="27" spans="1:11" x14ac:dyDescent="0.4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 t="str">
        <f>選択用フィールド!$G$5&amp;"/"&amp;InputData[[#This Row],[効果音]]</f>
        <v>Audio/SE/</v>
      </c>
      <c r="I27" t="str">
        <f>InputData[[#This Row],[説明]]</f>
        <v>運気が上がるカード</v>
      </c>
      <c r="J27" t="str">
        <f>"Arcana"&amp;TEXT(A27, "00")&amp;VLOOKUP(ArcanaData[[#This Row],[名前]],選択用フィールド!$D$2:$E$23,2,FALSE)&amp;ArcanaMaster[[#This Row],[位置]]</f>
        <v>Arcana12HangedManBack</v>
      </c>
      <c r="K27" t="str">
        <f>選択用フィールド!$G$8&amp;"/"&amp;ArcanaMaster[[#This Row],[画像]]</f>
        <v>Sprites/Arcana/12HangedMan</v>
      </c>
    </row>
    <row r="28" spans="1:11" x14ac:dyDescent="0.4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SkillEffect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 t="str">
        <f>選択用フィールド!$G$5&amp;"/"&amp;InputData[[#This Row],[効果音]]</f>
        <v>Audio/SE/</v>
      </c>
      <c r="I28" t="str">
        <f>InputData[[#This Row],[説明]]</f>
        <v>攻撃を降るたびにダメージを受けるが攻撃力が上がるカード</v>
      </c>
      <c r="J28" t="str">
        <f>"Arcana"&amp;TEXT(A28, "00")&amp;VLOOKUP(ArcanaData[[#This Row],[名前]],選択用フィールド!$D$2:$E$23,2,FALSE)&amp;ArcanaMaster[[#This Row],[位置]]</f>
        <v>Arcana13DeathFront</v>
      </c>
      <c r="K28" t="str">
        <f>選択用フィールド!$G$8&amp;"/"&amp;ArcanaMaster[[#This Row],[画像]]</f>
        <v>Sprites/Arcana/13Death</v>
      </c>
    </row>
    <row r="29" spans="1:11" x14ac:dyDescent="0.4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 t="str">
        <f>選択用フィールド!$G$5&amp;"/"&amp;InputData[[#This Row],[効果音]]</f>
        <v>Audio/SE/</v>
      </c>
      <c r="I29" t="str">
        <f>InputData[[#This Row],[説明]]</f>
        <v>相手にダメージを与えたときに回復するカード</v>
      </c>
      <c r="J29" t="str">
        <f>"Arcana"&amp;TEXT(A29, "00")&amp;VLOOKUP(ArcanaData[[#This Row],[名前]],選択用フィールド!$D$2:$E$23,2,FALSE)&amp;ArcanaMaster[[#This Row],[位置]]</f>
        <v>Arcana13DeathBack</v>
      </c>
      <c r="K29" t="str">
        <f>選択用フィールド!$G$8&amp;"/"&amp;ArcanaMaster[[#This Row],[画像]]</f>
        <v>Sprites/Arcana/13Death</v>
      </c>
    </row>
    <row r="30" spans="1:11" x14ac:dyDescent="0.4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 t="str">
        <f>選択用フィールド!$G$5&amp;"/"&amp;InputData[[#This Row],[効果音]]</f>
        <v>Audio/SE/</v>
      </c>
      <c r="I30" t="str">
        <f>InputData[[#This Row],[説明]]</f>
        <v>自分のスキルのクールタイムを早くするカード</v>
      </c>
      <c r="J30" t="str">
        <f>"Arcana"&amp;TEXT(A30, "00")&amp;VLOOKUP(ArcanaData[[#This Row],[名前]],選択用フィールド!$D$2:$E$23,2,FALSE)&amp;ArcanaMaster[[#This Row],[位置]]</f>
        <v>Arcana14TemperanceFront</v>
      </c>
      <c r="K30" t="str">
        <f>選択用フィールド!$G$8&amp;"/"&amp;ArcanaMaster[[#This Row],[画像]]</f>
        <v>Sprites/Arcana/14Temperance</v>
      </c>
    </row>
    <row r="31" spans="1:11" x14ac:dyDescent="0.4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 t="str">
        <f>選択用フィールド!$G$5&amp;"/"&amp;InputData[[#This Row],[効果音]]</f>
        <v>Audio/SE/</v>
      </c>
      <c r="I31" t="str">
        <f>InputData[[#This Row],[説明]]</f>
        <v>敵のクールタイムを遅くするカード</v>
      </c>
      <c r="J31" t="str">
        <f>"Arcana"&amp;TEXT(A31, "00")&amp;VLOOKUP(ArcanaData[[#This Row],[名前]],選択用フィールド!$D$2:$E$23,2,FALSE)&amp;ArcanaMaster[[#This Row],[位置]]</f>
        <v>Arcana14TemperanceBack</v>
      </c>
      <c r="K31" t="str">
        <f>選択用フィールド!$G$8&amp;"/"&amp;ArcanaMaster[[#This Row],[画像]]</f>
        <v>Sprites/Arcana/14Temperance</v>
      </c>
    </row>
    <row r="32" spans="1:11" x14ac:dyDescent="0.4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 t="str">
        <f>選択用フィールド!$G$5&amp;"/"&amp;InputData[[#This Row],[効果音]]</f>
        <v>Audio/SE/</v>
      </c>
      <c r="I32" t="str">
        <f>InputData[[#This Row],[説明]]</f>
        <v>防御力を上げるカード</v>
      </c>
      <c r="J32" t="str">
        <f>"Arcana"&amp;TEXT(A32, "00")&amp;VLOOKUP(ArcanaData[[#This Row],[名前]],選択用フィールド!$D$2:$E$23,2,FALSE)&amp;ArcanaMaster[[#This Row],[位置]]</f>
        <v>Arcana15DevilFront</v>
      </c>
      <c r="K32" t="str">
        <f>選択用フィールド!$G$8&amp;"/"&amp;ArcanaMaster[[#This Row],[画像]]</f>
        <v>Sprites/Arcana/15Devil</v>
      </c>
    </row>
    <row r="33" spans="1:11" x14ac:dyDescent="0.4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 t="str">
        <f>選択用フィールド!$G$5&amp;"/"&amp;InputData[[#This Row],[効果音]]</f>
        <v>Audio/SE/</v>
      </c>
      <c r="I33" t="str">
        <f>InputData[[#This Row],[説明]]</f>
        <v>自分のバフ・デバフを消し、その分攻撃力が上がるカード</v>
      </c>
      <c r="J33" t="str">
        <f>"Arcana"&amp;TEXT(A33, "00")&amp;VLOOKUP(ArcanaData[[#This Row],[名前]],選択用フィールド!$D$2:$E$23,2,FALSE)&amp;ArcanaMaster[[#This Row],[位置]]</f>
        <v>Arcana15DevilBack</v>
      </c>
      <c r="K33" t="str">
        <f>選択用フィールド!$G$8&amp;"/"&amp;ArcanaMaster[[#This Row],[画像]]</f>
        <v>Sprites/Arcana/15Devil</v>
      </c>
    </row>
    <row r="34" spans="1:11" x14ac:dyDescent="0.4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 t="str">
        <f>選択用フィールド!$G$5&amp;"/"&amp;InputData[[#This Row],[効果音]]</f>
        <v>Audio/SE/</v>
      </c>
      <c r="I34" t="str">
        <f>InputData[[#This Row],[説明]]</f>
        <v>タレットがおけるカード</v>
      </c>
      <c r="J34" t="str">
        <f>"Arcana"&amp;TEXT(A34, "00")&amp;VLOOKUP(ArcanaData[[#This Row],[名前]],選択用フィールド!$D$2:$E$23,2,FALSE)&amp;ArcanaMaster[[#This Row],[位置]]</f>
        <v>Arcana16TowerFront</v>
      </c>
      <c r="K34" t="str">
        <f>選択用フィールド!$G$8&amp;"/"&amp;ArcanaMaster[[#This Row],[画像]]</f>
        <v>Sprites/Arcana/16Tower</v>
      </c>
    </row>
    <row r="35" spans="1:11" x14ac:dyDescent="0.4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 t="str">
        <f>選択用フィールド!$G$5&amp;"/"&amp;InputData[[#This Row],[効果音]]</f>
        <v>Audio/SE/Correct</v>
      </c>
      <c r="I35" t="str">
        <f>InputData[[#This Row],[説明]]</f>
        <v>確率で数秒後にスキルが再発動するカード</v>
      </c>
      <c r="J35" t="str">
        <f>"Arcana"&amp;TEXT(A35, "00")&amp;VLOOKUP(ArcanaData[[#This Row],[名前]],選択用フィールド!$D$2:$E$23,2,FALSE)&amp;ArcanaMaster[[#This Row],[位置]]</f>
        <v>Arcana16TowerBack</v>
      </c>
      <c r="K35" t="str">
        <f>選択用フィールド!$G$8&amp;"/"&amp;ArcanaMaster[[#This Row],[画像]]</f>
        <v>Sprites/Arcana/16Tower</v>
      </c>
    </row>
    <row r="36" spans="1:11" x14ac:dyDescent="0.4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 t="str">
        <f>選択用フィールド!$G$5&amp;"/"&amp;InputData[[#This Row],[効果音]]</f>
        <v>Audio/SE/</v>
      </c>
      <c r="I36" t="str">
        <f>InputData[[#This Row],[説明]]</f>
        <v>あなたが注目を浴びるカード</v>
      </c>
      <c r="J36" t="str">
        <f>"Arcana"&amp;TEXT(A36, "00")&amp;VLOOKUP(ArcanaData[[#This Row],[名前]],選択用フィールド!$D$2:$E$23,2,FALSE)&amp;ArcanaMaster[[#This Row],[位置]]</f>
        <v>Arcana17StarFront</v>
      </c>
      <c r="K36" t="str">
        <f>選択用フィールド!$G$8&amp;"/"&amp;ArcanaMaster[[#This Row],[画像]]</f>
        <v>Sprites/Arcana/17Star</v>
      </c>
    </row>
    <row r="37" spans="1:11" x14ac:dyDescent="0.4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 t="str">
        <f>選択用フィールド!$G$5&amp;"/"&amp;InputData[[#This Row],[効果音]]</f>
        <v>Audio/SE/</v>
      </c>
      <c r="I37" t="str">
        <f>InputData[[#This Row],[説明]]</f>
        <v>無敵を付与するカード</v>
      </c>
      <c r="J37" t="str">
        <f>"Arcana"&amp;TEXT(A37, "00")&amp;VLOOKUP(ArcanaData[[#This Row],[名前]],選択用フィールド!$D$2:$E$23,2,FALSE)&amp;ArcanaMaster[[#This Row],[位置]]</f>
        <v>Arcana17StarBack</v>
      </c>
      <c r="K37" t="str">
        <f>選択用フィールド!$G$8&amp;"/"&amp;ArcanaMaster[[#This Row],[画像]]</f>
        <v>Sprites/Arcana/17Star</v>
      </c>
    </row>
    <row r="38" spans="1:11" x14ac:dyDescent="0.4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 t="str">
        <f>選択用フィールド!$G$5&amp;"/"&amp;InputData[[#This Row],[効果音]]</f>
        <v>Audio/SE/</v>
      </c>
      <c r="I38" t="str">
        <f>InputData[[#This Row],[説明]]</f>
        <v>向いた方向にブリンクをするカード</v>
      </c>
      <c r="J38" t="str">
        <f>"Arcana"&amp;TEXT(A38, "00")&amp;VLOOKUP(ArcanaData[[#This Row],[名前]],選択用フィールド!$D$2:$E$23,2,FALSE)&amp;ArcanaMaster[[#This Row],[位置]]</f>
        <v>Arcana18MoonFront</v>
      </c>
      <c r="K38" t="str">
        <f>選択用フィールド!$G$8&amp;"/"&amp;ArcanaMaster[[#This Row],[画像]]</f>
        <v>Sprites/Arcana/18Moon</v>
      </c>
    </row>
    <row r="39" spans="1:11" x14ac:dyDescent="0.4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Command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 t="str">
        <f>選択用フィールド!$G$5&amp;"/"&amp;InputData[[#This Row],[効果音]]</f>
        <v>Audio/SE/</v>
      </c>
      <c r="I39" t="str">
        <f>InputData[[#This Row],[説明]]</f>
        <v>分身が出てくるカード</v>
      </c>
      <c r="J39" t="str">
        <f>"Arcana"&amp;TEXT(A39, "00")&amp;VLOOKUP(ArcanaData[[#This Row],[名前]],選択用フィールド!$D$2:$E$23,2,FALSE)&amp;ArcanaMaster[[#This Row],[位置]]</f>
        <v>Arcana18MoonBack</v>
      </c>
      <c r="K39" t="str">
        <f>選択用フィールド!$G$8&amp;"/"&amp;ArcanaMaster[[#This Row],[画像]]</f>
        <v>Sprites/Arcana/18Moon</v>
      </c>
    </row>
    <row r="40" spans="1:11" x14ac:dyDescent="0.4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 t="str">
        <f>選択用フィールド!$G$5&amp;"/"&amp;InputData[[#This Row],[効果音]]</f>
        <v>Audio/SE/</v>
      </c>
      <c r="I40" t="str">
        <f>InputData[[#This Row],[説明]]</f>
        <v>晴れ日和になるカード</v>
      </c>
      <c r="J40" t="str">
        <f>"Arcana"&amp;TEXT(A40, "00")&amp;VLOOKUP(ArcanaData[[#This Row],[名前]],選択用フィールド!$D$2:$E$23,2,FALSE)&amp;ArcanaMaster[[#This Row],[位置]]</f>
        <v>Arcana19SunFront</v>
      </c>
      <c r="K40" t="str">
        <f>選択用フィールド!$G$8&amp;"/"&amp;ArcanaMaster[[#This Row],[画像]]</f>
        <v>Sprites/Arcana/19Sun</v>
      </c>
    </row>
    <row r="41" spans="1:11" x14ac:dyDescent="0.4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 t="str">
        <f>選択用フィールド!$G$5&amp;"/"&amp;InputData[[#This Row],[効果音]]</f>
        <v>Audio/SE/</v>
      </c>
      <c r="I41" t="str">
        <f>InputData[[#This Row],[説明]]</f>
        <v>敵をスタンするカード</v>
      </c>
      <c r="J41" t="str">
        <f>"Arcana"&amp;TEXT(A41, "00")&amp;VLOOKUP(ArcanaData[[#This Row],[名前]],選択用フィールド!$D$2:$E$23,2,FALSE)&amp;ArcanaMaster[[#This Row],[位置]]</f>
        <v>Arcana19SunBack</v>
      </c>
      <c r="K41" t="str">
        <f>選択用フィールド!$G$8&amp;"/"&amp;ArcanaMaster[[#This Row],[画像]]</f>
        <v>Sprites/Arcana/19Sun</v>
      </c>
    </row>
    <row r="42" spans="1:11" x14ac:dyDescent="0.4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 t="str">
        <f>選択用フィールド!$G$5&amp;"/"&amp;InputData[[#This Row],[効果音]]</f>
        <v>Audio/SE/</v>
      </c>
      <c r="I42" t="str">
        <f>InputData[[#This Row],[説明]]</f>
        <v>当たると現在HPの30％のHPを減らす弾を打つ</v>
      </c>
      <c r="J42" t="str">
        <f>"Arcana"&amp;TEXT(A42, "00")&amp;VLOOKUP(ArcanaData[[#This Row],[名前]],選択用フィールド!$D$2:$E$23,2,FALSE)&amp;ArcanaMaster[[#This Row],[位置]]</f>
        <v>Arcana20JudgementFront</v>
      </c>
      <c r="K42" t="str">
        <f>選択用フィールド!$G$8&amp;"/"&amp;ArcanaMaster[[#This Row],[画像]]</f>
        <v>Sprites/Arcana/20Judgement</v>
      </c>
    </row>
    <row r="43" spans="1:11" x14ac:dyDescent="0.4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4</v>
      </c>
      <c r="G43" t="str">
        <f>選択用フィールド!$G$2&amp;"/"&amp;InputData[[#This Row],[エフェクト]]</f>
        <v>Effect/Arcana/miniBullet</v>
      </c>
      <c r="H43" t="str">
        <f>選択用フィールド!$G$5&amp;"/"&amp;InputData[[#This Row],[効果音]]</f>
        <v>Audio/SE/</v>
      </c>
      <c r="I43" t="str">
        <f>InputData[[#This Row],[説明]]</f>
        <v>銃弾の雨が降ってくるカード</v>
      </c>
      <c r="J43" t="str">
        <f>"Arcana"&amp;TEXT(A43, "00")&amp;VLOOKUP(ArcanaData[[#This Row],[名前]],選択用フィールド!$D$2:$E$23,2,FALSE)&amp;ArcanaMaster[[#This Row],[位置]]</f>
        <v>Arcana20JudgementBack</v>
      </c>
      <c r="K43" t="str">
        <f>選択用フィールド!$G$8&amp;"/"&amp;ArcanaMaster[[#This Row],[画像]]</f>
        <v>Sprites/Arcana/20Judgement</v>
      </c>
    </row>
    <row r="44" spans="1:11" x14ac:dyDescent="0.4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 t="str">
        <f>選択用フィールド!$G$5&amp;"/"&amp;InputData[[#This Row],[効果音]]</f>
        <v>Audio/SE/</v>
      </c>
      <c r="I44" t="str">
        <f>InputData[[#This Row],[説明]]</f>
        <v>二段ジャンプができるカード</v>
      </c>
      <c r="J44" t="str">
        <f>"Arcana"&amp;TEXT(A44, "00")&amp;VLOOKUP(ArcanaData[[#This Row],[名前]],選択用フィールド!$D$2:$E$23,2,FALSE)&amp;ArcanaMaster[[#This Row],[位置]]</f>
        <v>Arcana21WorldFront</v>
      </c>
      <c r="K44" t="str">
        <f>選択用フィールド!$G$8&amp;"/"&amp;ArcanaMaster[[#This Row],[画像]]</f>
        <v>Sprites/Arcana/21World</v>
      </c>
    </row>
    <row r="45" spans="1:11" x14ac:dyDescent="0.4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 t="str">
        <f>選択用フィールド!$G$5&amp;"/"&amp;InputData[[#This Row],[効果音]]</f>
        <v>Audio/SE/Dimension</v>
      </c>
      <c r="I45" t="str">
        <f>InputData[[#This Row],[説明]]</f>
        <v>次元移動ができるカード</v>
      </c>
      <c r="J45" t="str">
        <f>"Arcana"&amp;TEXT(A45, "00")&amp;VLOOKUP(ArcanaData[[#This Row],[名前]],選択用フィールド!$D$2:$E$23,2,FALSE)&amp;ArcanaMaster[[#This Row],[位置]]</f>
        <v>Arcana21WorldBack</v>
      </c>
      <c r="K45" t="str">
        <f>選択用フィールド!$G$8&amp;"/"&amp;ArcanaMaster[[#This Row],[画像]]</f>
        <v>Sprites/Arcana/21World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G5" sqref="G5"/>
    </sheetView>
  </sheetViews>
  <sheetFormatPr defaultRowHeight="18.75" x14ac:dyDescent="0.4"/>
  <cols>
    <col min="1" max="1" width="18.25" bestFit="1" customWidth="1"/>
    <col min="2" max="2" width="15.75" bestFit="1" customWidth="1"/>
    <col min="4" max="4" width="12.375" bestFit="1" customWidth="1"/>
    <col min="5" max="5" width="15.25" bestFit="1" customWidth="1"/>
    <col min="7" max="7" width="17.125" bestFit="1" customWidth="1"/>
    <col min="9" max="9" width="8.25" customWidth="1"/>
  </cols>
  <sheetData>
    <row r="1" spans="1:10" x14ac:dyDescent="0.4">
      <c r="A1" s="1" t="s">
        <v>4</v>
      </c>
      <c r="B1" s="1"/>
      <c r="D1" s="1" t="s">
        <v>57</v>
      </c>
      <c r="E1" s="1"/>
      <c r="G1" t="s">
        <v>81</v>
      </c>
      <c r="I1" s="1" t="s">
        <v>84</v>
      </c>
      <c r="J1" s="1"/>
    </row>
    <row r="2" spans="1:10" x14ac:dyDescent="0.4">
      <c r="A2" t="s">
        <v>34</v>
      </c>
      <c r="B2" t="s">
        <v>87</v>
      </c>
      <c r="D2" t="s">
        <v>35</v>
      </c>
      <c r="E2" t="s">
        <v>58</v>
      </c>
      <c r="G2" t="s">
        <v>96</v>
      </c>
      <c r="I2" t="s">
        <v>85</v>
      </c>
      <c r="J2">
        <v>1</v>
      </c>
    </row>
    <row r="3" spans="1:10" x14ac:dyDescent="0.4">
      <c r="A3" t="s">
        <v>33</v>
      </c>
      <c r="B3" t="s">
        <v>88</v>
      </c>
      <c r="D3" t="s">
        <v>36</v>
      </c>
      <c r="E3" t="s">
        <v>59</v>
      </c>
      <c r="I3" t="s">
        <v>86</v>
      </c>
      <c r="J3">
        <v>-1</v>
      </c>
    </row>
    <row r="4" spans="1:10" x14ac:dyDescent="0.4">
      <c r="A4" t="s">
        <v>92</v>
      </c>
      <c r="B4" t="s">
        <v>89</v>
      </c>
      <c r="D4" t="s">
        <v>37</v>
      </c>
      <c r="E4" t="s">
        <v>60</v>
      </c>
      <c r="G4" t="s">
        <v>82</v>
      </c>
    </row>
    <row r="5" spans="1:10" x14ac:dyDescent="0.4">
      <c r="A5" t="s">
        <v>93</v>
      </c>
      <c r="B5" t="s">
        <v>90</v>
      </c>
      <c r="D5" t="s">
        <v>38</v>
      </c>
      <c r="E5" t="s">
        <v>61</v>
      </c>
      <c r="G5" t="s">
        <v>83</v>
      </c>
    </row>
    <row r="6" spans="1:10" x14ac:dyDescent="0.4">
      <c r="A6" t="s">
        <v>94</v>
      </c>
      <c r="B6" t="s">
        <v>91</v>
      </c>
      <c r="D6" t="s">
        <v>39</v>
      </c>
      <c r="E6" t="s">
        <v>62</v>
      </c>
    </row>
    <row r="7" spans="1:10" x14ac:dyDescent="0.4">
      <c r="D7" t="s">
        <v>40</v>
      </c>
      <c r="E7" t="s">
        <v>63</v>
      </c>
      <c r="G7" t="s">
        <v>147</v>
      </c>
    </row>
    <row r="8" spans="1:10" x14ac:dyDescent="0.4">
      <c r="D8" t="s">
        <v>41</v>
      </c>
      <c r="E8" t="s">
        <v>64</v>
      </c>
      <c r="G8" t="s">
        <v>149</v>
      </c>
    </row>
    <row r="9" spans="1:10" x14ac:dyDescent="0.4">
      <c r="D9" t="s">
        <v>42</v>
      </c>
      <c r="E9" t="s">
        <v>65</v>
      </c>
    </row>
    <row r="10" spans="1:10" x14ac:dyDescent="0.4">
      <c r="D10" t="s">
        <v>43</v>
      </c>
      <c r="E10" t="s">
        <v>66</v>
      </c>
    </row>
    <row r="11" spans="1:10" x14ac:dyDescent="0.4">
      <c r="D11" t="s">
        <v>44</v>
      </c>
      <c r="E11" t="s">
        <v>67</v>
      </c>
    </row>
    <row r="12" spans="1:10" x14ac:dyDescent="0.4">
      <c r="D12" t="s">
        <v>45</v>
      </c>
      <c r="E12" t="s">
        <v>68</v>
      </c>
    </row>
    <row r="13" spans="1:10" x14ac:dyDescent="0.4">
      <c r="D13" t="s">
        <v>46</v>
      </c>
      <c r="E13" t="s">
        <v>69</v>
      </c>
    </row>
    <row r="14" spans="1:10" x14ac:dyDescent="0.4">
      <c r="D14" t="s">
        <v>47</v>
      </c>
      <c r="E14" t="s">
        <v>70</v>
      </c>
    </row>
    <row r="15" spans="1:10" x14ac:dyDescent="0.4">
      <c r="D15" t="s">
        <v>48</v>
      </c>
      <c r="E15" t="s">
        <v>71</v>
      </c>
    </row>
    <row r="16" spans="1:10" x14ac:dyDescent="0.4">
      <c r="D16" t="s">
        <v>49</v>
      </c>
      <c r="E16" t="s">
        <v>72</v>
      </c>
    </row>
    <row r="17" spans="4:5" x14ac:dyDescent="0.4">
      <c r="D17" t="s">
        <v>50</v>
      </c>
      <c r="E17" t="s">
        <v>73</v>
      </c>
    </row>
    <row r="18" spans="4:5" x14ac:dyDescent="0.4">
      <c r="D18" t="s">
        <v>51</v>
      </c>
      <c r="E18" t="s">
        <v>74</v>
      </c>
    </row>
    <row r="19" spans="4:5" x14ac:dyDescent="0.4">
      <c r="D19" t="s">
        <v>52</v>
      </c>
      <c r="E19" t="s">
        <v>75</v>
      </c>
    </row>
    <row r="20" spans="4:5" x14ac:dyDescent="0.4">
      <c r="D20" t="s">
        <v>53</v>
      </c>
      <c r="E20" t="s">
        <v>76</v>
      </c>
    </row>
    <row r="21" spans="4:5" x14ac:dyDescent="0.4">
      <c r="D21" t="s">
        <v>54</v>
      </c>
      <c r="E21" t="s">
        <v>77</v>
      </c>
    </row>
    <row r="22" spans="4:5" x14ac:dyDescent="0.4">
      <c r="D22" t="s">
        <v>55</v>
      </c>
      <c r="E22" t="s">
        <v>78</v>
      </c>
    </row>
    <row r="23" spans="4:5" x14ac:dyDescent="0.4">
      <c r="D23" t="s">
        <v>56</v>
      </c>
      <c r="E23" t="s">
        <v>79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A10" workbookViewId="0">
      <selection activeCell="G29" sqref="G29"/>
    </sheetView>
  </sheetViews>
  <sheetFormatPr defaultRowHeight="18.75" x14ac:dyDescent="0.4"/>
  <cols>
    <col min="1" max="1" width="12.375" bestFit="1" customWidth="1"/>
    <col min="3" max="3" width="18.25" bestFit="1" customWidth="1"/>
    <col min="4" max="5" width="13.25" customWidth="1"/>
    <col min="6" max="6" width="19.25" customWidth="1"/>
    <col min="7" max="7" width="26.125" customWidth="1"/>
    <col min="8" max="8" width="75.875" customWidth="1"/>
  </cols>
  <sheetData>
    <row r="1" spans="1:8" x14ac:dyDescent="0.4">
      <c r="A1" t="s">
        <v>2</v>
      </c>
      <c r="B1" t="s">
        <v>1</v>
      </c>
      <c r="C1" t="s">
        <v>4</v>
      </c>
      <c r="D1" t="s">
        <v>5</v>
      </c>
      <c r="E1" t="s">
        <v>141</v>
      </c>
      <c r="F1" t="s">
        <v>6</v>
      </c>
      <c r="G1" t="s">
        <v>7</v>
      </c>
      <c r="H1" t="s">
        <v>3</v>
      </c>
    </row>
    <row r="2" spans="1:8" x14ac:dyDescent="0.4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112</v>
      </c>
    </row>
    <row r="3" spans="1:8" x14ac:dyDescent="0.4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97</v>
      </c>
    </row>
    <row r="4" spans="1:8" x14ac:dyDescent="0.4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98</v>
      </c>
    </row>
    <row r="5" spans="1:8" x14ac:dyDescent="0.4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95</v>
      </c>
      <c r="G5" t="s">
        <v>150</v>
      </c>
      <c r="H5" t="s">
        <v>99</v>
      </c>
    </row>
    <row r="6" spans="1:8" x14ac:dyDescent="0.4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100</v>
      </c>
    </row>
    <row r="7" spans="1:8" x14ac:dyDescent="0.4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101</v>
      </c>
    </row>
    <row r="8" spans="1:8" x14ac:dyDescent="0.4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102</v>
      </c>
    </row>
    <row r="9" spans="1:8" x14ac:dyDescent="0.4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135</v>
      </c>
      <c r="H9" t="s">
        <v>103</v>
      </c>
    </row>
    <row r="10" spans="1:8" x14ac:dyDescent="0.4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104</v>
      </c>
    </row>
    <row r="11" spans="1:8" x14ac:dyDescent="0.4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105</v>
      </c>
    </row>
    <row r="12" spans="1:8" x14ac:dyDescent="0.4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106</v>
      </c>
    </row>
    <row r="13" spans="1:8" x14ac:dyDescent="0.4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G13" t="s">
        <v>151</v>
      </c>
      <c r="H13" t="s">
        <v>107</v>
      </c>
    </row>
    <row r="14" spans="1:8" x14ac:dyDescent="0.4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F14" t="s">
        <v>164</v>
      </c>
      <c r="G14" t="s">
        <v>152</v>
      </c>
      <c r="H14" t="s">
        <v>108</v>
      </c>
    </row>
    <row r="15" spans="1:8" x14ac:dyDescent="0.4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G15" t="s">
        <v>153</v>
      </c>
      <c r="H15" t="s">
        <v>109</v>
      </c>
    </row>
    <row r="16" spans="1:8" x14ac:dyDescent="0.4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134</v>
      </c>
    </row>
    <row r="17" spans="1:8" x14ac:dyDescent="0.4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110</v>
      </c>
    </row>
    <row r="18" spans="1:8" x14ac:dyDescent="0.4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111</v>
      </c>
    </row>
    <row r="19" spans="1:8" x14ac:dyDescent="0.4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93</v>
      </c>
      <c r="D19">
        <v>-1</v>
      </c>
      <c r="E19">
        <v>0.05</v>
      </c>
      <c r="G19" t="s">
        <v>154</v>
      </c>
      <c r="H19" t="s">
        <v>113</v>
      </c>
    </row>
    <row r="20" spans="1:8" x14ac:dyDescent="0.4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G20" t="s">
        <v>155</v>
      </c>
      <c r="H20" t="s">
        <v>114</v>
      </c>
    </row>
    <row r="21" spans="1:8" x14ac:dyDescent="0.4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136</v>
      </c>
      <c r="G21" t="s">
        <v>156</v>
      </c>
      <c r="H21" t="s">
        <v>115</v>
      </c>
    </row>
    <row r="22" spans="1:8" x14ac:dyDescent="0.4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G22" t="s">
        <v>157</v>
      </c>
      <c r="H22" t="s">
        <v>116</v>
      </c>
    </row>
    <row r="23" spans="1:8" x14ac:dyDescent="0.4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117</v>
      </c>
    </row>
    <row r="24" spans="1:8" x14ac:dyDescent="0.4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G24" t="s">
        <v>158</v>
      </c>
      <c r="H24" t="s">
        <v>139</v>
      </c>
    </row>
    <row r="25" spans="1:8" x14ac:dyDescent="0.4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F25" t="s">
        <v>166</v>
      </c>
      <c r="G25" t="s">
        <v>159</v>
      </c>
      <c r="H25" t="s">
        <v>118</v>
      </c>
    </row>
    <row r="26" spans="1:8" x14ac:dyDescent="0.4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G26" t="s">
        <v>160</v>
      </c>
      <c r="H26" t="s">
        <v>119</v>
      </c>
    </row>
    <row r="27" spans="1:8" x14ac:dyDescent="0.4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120</v>
      </c>
    </row>
    <row r="28" spans="1:8" x14ac:dyDescent="0.4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92</v>
      </c>
      <c r="D28">
        <v>-1</v>
      </c>
      <c r="E28">
        <v>1</v>
      </c>
      <c r="H28" t="s">
        <v>142</v>
      </c>
    </row>
    <row r="29" spans="1:8" x14ac:dyDescent="0.4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93</v>
      </c>
      <c r="D29">
        <v>-1</v>
      </c>
      <c r="E29">
        <v>-1</v>
      </c>
      <c r="H29" t="s">
        <v>121</v>
      </c>
    </row>
    <row r="30" spans="1:8" x14ac:dyDescent="0.4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122</v>
      </c>
    </row>
    <row r="31" spans="1:8" x14ac:dyDescent="0.4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123</v>
      </c>
    </row>
    <row r="32" spans="1:8" x14ac:dyDescent="0.4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165</v>
      </c>
    </row>
    <row r="33" spans="1:8" x14ac:dyDescent="0.4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124</v>
      </c>
    </row>
    <row r="34" spans="1:8" x14ac:dyDescent="0.4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137</v>
      </c>
      <c r="H34" t="s">
        <v>125</v>
      </c>
    </row>
    <row r="35" spans="1:8" x14ac:dyDescent="0.4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G35" t="s">
        <v>161</v>
      </c>
      <c r="H35" t="s">
        <v>126</v>
      </c>
    </row>
    <row r="36" spans="1:8" x14ac:dyDescent="0.4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127</v>
      </c>
    </row>
    <row r="37" spans="1:8" x14ac:dyDescent="0.4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128</v>
      </c>
    </row>
    <row r="38" spans="1:8" x14ac:dyDescent="0.4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163</v>
      </c>
    </row>
    <row r="39" spans="1:8" x14ac:dyDescent="0.4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33</v>
      </c>
      <c r="D39">
        <v>45</v>
      </c>
      <c r="E39">
        <v>3</v>
      </c>
      <c r="F39" t="s">
        <v>146</v>
      </c>
      <c r="H39" t="s">
        <v>145</v>
      </c>
    </row>
    <row r="40" spans="1:8" x14ac:dyDescent="0.4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129</v>
      </c>
    </row>
    <row r="41" spans="1:8" x14ac:dyDescent="0.4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130</v>
      </c>
    </row>
    <row r="42" spans="1:8" x14ac:dyDescent="0.4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143</v>
      </c>
      <c r="H42" t="s">
        <v>144</v>
      </c>
    </row>
    <row r="43" spans="1:8" x14ac:dyDescent="0.4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4</v>
      </c>
      <c r="F43" t="s">
        <v>138</v>
      </c>
      <c r="H43" t="s">
        <v>131</v>
      </c>
    </row>
    <row r="44" spans="1:8" x14ac:dyDescent="0.4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132</v>
      </c>
    </row>
    <row r="45" spans="1:8" x14ac:dyDescent="0.4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G45" t="s">
        <v>162</v>
      </c>
      <c r="H45" t="s">
        <v>133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Chell Not</cp:lastModifiedBy>
  <dcterms:created xsi:type="dcterms:W3CDTF">2026-07-15T04:43:34Z</dcterms:created>
  <dcterms:modified xsi:type="dcterms:W3CDTF">2026-10-05T13:30:58Z</dcterms:modified>
</cp:coreProperties>
</file>